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ghz\Documents\Claude\Projects\0) VC.Perera - Online Porfoilio\"/>
    </mc:Choice>
  </mc:AlternateContent>
  <xr:revisionPtr revIDLastSave="0" documentId="13_ncr:1_{60E439E5-BAD7-42AF-A47F-2854F90BDD6D}" xr6:coauthVersionLast="47" xr6:coauthVersionMax="47" xr10:uidLastSave="{00000000-0000-0000-0000-000000000000}"/>
  <bookViews>
    <workbookView xWindow="-110" yWindow="-110" windowWidth="19420" windowHeight="11020" activeTab="2" xr2:uid="{00000000-000D-0000-FFFF-FFFF00000000}"/>
  </bookViews>
  <sheets>
    <sheet name="personas" sheetId="1" r:id="rId1"/>
    <sheet name="techstack" sheetId="2" r:id="rId2"/>
    <sheet name="organisations" sheetId="3" r:id="rId3"/>
    <sheet name="education" sheetId="4" r:id="rId4"/>
    <sheet name="projects" sheetId="5" r:id="rId5"/>
    <sheet name="certificates" sheetId="6" r:id="rId6"/>
    <sheet name="featured"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9" i="6" l="1"/>
  <c r="E3" i="6"/>
  <c r="F3" i="6"/>
  <c r="E4" i="6"/>
  <c r="F4" i="6"/>
  <c r="E5" i="6"/>
  <c r="F5" i="6"/>
  <c r="E6" i="6"/>
  <c r="F6" i="6"/>
  <c r="E7" i="6"/>
  <c r="F7" i="6"/>
  <c r="E8" i="6"/>
  <c r="F8" i="6"/>
  <c r="E9" i="6"/>
  <c r="E10" i="6"/>
  <c r="F10" i="6"/>
  <c r="E11" i="6"/>
  <c r="F11" i="6"/>
  <c r="E12" i="6"/>
  <c r="F12" i="6"/>
  <c r="E13" i="6"/>
  <c r="F13" i="6"/>
  <c r="E14" i="6"/>
  <c r="F14" i="6"/>
  <c r="E15" i="6"/>
  <c r="F15" i="6"/>
  <c r="E16" i="6"/>
  <c r="F16" i="6"/>
  <c r="E17" i="6"/>
  <c r="F17" i="6"/>
  <c r="E18" i="6"/>
  <c r="F18" i="6"/>
  <c r="E19" i="6"/>
  <c r="F19" i="6"/>
  <c r="E20" i="6"/>
  <c r="F20" i="6"/>
  <c r="E21" i="6"/>
  <c r="F21" i="6"/>
  <c r="E22" i="6"/>
  <c r="F22" i="6"/>
  <c r="E23" i="6"/>
  <c r="F23" i="6"/>
  <c r="E24" i="6"/>
  <c r="F24" i="6"/>
  <c r="E25" i="6"/>
  <c r="F25" i="6"/>
  <c r="E26" i="6"/>
  <c r="F26" i="6"/>
  <c r="E27" i="6"/>
  <c r="F27" i="6"/>
  <c r="E28" i="6"/>
  <c r="F28" i="6"/>
  <c r="E29" i="6"/>
  <c r="F29" i="6"/>
  <c r="E30" i="6"/>
  <c r="F30" i="6"/>
  <c r="E31" i="6"/>
  <c r="F31" i="6"/>
  <c r="E32" i="6"/>
  <c r="F32" i="6"/>
  <c r="E33" i="6"/>
  <c r="F33" i="6"/>
  <c r="E34" i="6"/>
  <c r="F34" i="6"/>
  <c r="E35" i="6"/>
  <c r="F35" i="6"/>
  <c r="E36" i="6"/>
  <c r="F36" i="6"/>
  <c r="E37" i="6"/>
  <c r="F37" i="6"/>
  <c r="E38" i="6"/>
  <c r="F38" i="6"/>
  <c r="E39" i="6"/>
  <c r="F39" i="6"/>
  <c r="E40" i="6"/>
  <c r="F40" i="6"/>
  <c r="E41" i="6"/>
  <c r="F41" i="6"/>
  <c r="E42" i="6"/>
  <c r="F42" i="6"/>
  <c r="E43" i="6"/>
  <c r="F43" i="6"/>
  <c r="E44" i="6"/>
  <c r="F44" i="6"/>
  <c r="E45" i="6"/>
  <c r="F45" i="6"/>
  <c r="E46" i="6"/>
  <c r="F46" i="6"/>
  <c r="E47" i="6"/>
  <c r="F47" i="6"/>
  <c r="E48" i="6"/>
  <c r="F48" i="6"/>
  <c r="E49" i="6"/>
  <c r="F49" i="6"/>
  <c r="E50" i="6"/>
  <c r="F50" i="6"/>
  <c r="E51" i="6"/>
  <c r="F51" i="6"/>
  <c r="E52" i="6"/>
  <c r="F52" i="6"/>
  <c r="F2" i="6"/>
  <c r="E2" i="6"/>
</calcChain>
</file>

<file path=xl/sharedStrings.xml><?xml version="1.0" encoding="utf-8"?>
<sst xmlns="http://schemas.openxmlformats.org/spreadsheetml/2006/main" count="744" uniqueCount="420">
  <si>
    <t>ID</t>
  </si>
  <si>
    <t>Image</t>
  </si>
  <si>
    <t>Tag</t>
  </si>
  <si>
    <t>AerospaceEngineer.webp</t>
  </si>
  <si>
    <t>AEROSPACE ENGINEER</t>
  </si>
  <si>
    <t>TechEnthusiast.webp</t>
  </si>
  <si>
    <t>TECH ENTHUSIAST</t>
  </si>
  <si>
    <t>LifelongLearner.webp</t>
  </si>
  <si>
    <t>LIFELONG LEARNER</t>
  </si>
  <si>
    <t>StudentCentricEducator.webp</t>
  </si>
  <si>
    <t>STUDENT-CENTRIC EDUCATOR</t>
  </si>
  <si>
    <t>SpaceEnthusiast.webp</t>
  </si>
  <si>
    <t>SPACE ENTHUSIAST</t>
  </si>
  <si>
    <t>Researcher.webp</t>
  </si>
  <si>
    <t>INDEPENDENT RESEARCHER</t>
  </si>
  <si>
    <t>FitnessFreak.webp</t>
  </si>
  <si>
    <t>FITNESS FREAK</t>
  </si>
  <si>
    <t>Category</t>
  </si>
  <si>
    <t>Color</t>
  </si>
  <si>
    <t>Sub-Category</t>
  </si>
  <si>
    <t>Sub_Color</t>
  </si>
  <si>
    <t>Tool</t>
  </si>
  <si>
    <t>Scale</t>
  </si>
  <si>
    <t>Engineering &amp; Code</t>
  </si>
  <si>
    <t>#4f8bf0</t>
  </si>
  <si>
    <t>Design &amp; Simulation</t>
  </si>
  <si>
    <t>Solidworks</t>
  </si>
  <si>
    <t>Solidworks.webp</t>
  </si>
  <si>
    <t>3DExperience</t>
  </si>
  <si>
    <t>3DExperience.webp</t>
  </si>
  <si>
    <t>AutoCAD</t>
  </si>
  <si>
    <t>Autocad.webp</t>
  </si>
  <si>
    <t>Onshape</t>
  </si>
  <si>
    <t>Onshape.webp</t>
  </si>
  <si>
    <t>ANSYS</t>
  </si>
  <si>
    <t>Ansys.webp</t>
  </si>
  <si>
    <t>OpenFOAM</t>
  </si>
  <si>
    <t>OpenFOAM.webp</t>
  </si>
  <si>
    <t>MATLAB</t>
  </si>
  <si>
    <t>Matlab.webp</t>
  </si>
  <si>
    <t>Computer-Aided Manufacturing</t>
  </si>
  <si>
    <t>#58aef0</t>
  </si>
  <si>
    <t>Stratasys</t>
  </si>
  <si>
    <t>Stratasys.webp</t>
  </si>
  <si>
    <t>Bambu Lab</t>
  </si>
  <si>
    <t>BambuLAB.webp</t>
  </si>
  <si>
    <t>Programming &amp; Scripts</t>
  </si>
  <si>
    <t>#38b779</t>
  </si>
  <si>
    <t>Python</t>
  </si>
  <si>
    <t>Python.webp</t>
  </si>
  <si>
    <t>JavaScript</t>
  </si>
  <si>
    <t>Javascript.webp</t>
  </si>
  <si>
    <t>HTML</t>
  </si>
  <si>
    <t>HTML.webp</t>
  </si>
  <si>
    <t>CSS</t>
  </si>
  <si>
    <t>CSS.webp</t>
  </si>
  <si>
    <t>C++</t>
  </si>
  <si>
    <t>C.webp</t>
  </si>
  <si>
    <t>Bash</t>
  </si>
  <si>
    <t>Bash.webp</t>
  </si>
  <si>
    <t>OS &amp; Dev Environments</t>
  </si>
  <si>
    <t>#7c8ba1</t>
  </si>
  <si>
    <t>Linux</t>
  </si>
  <si>
    <t>Linux.webp</t>
  </si>
  <si>
    <t>GitHub</t>
  </si>
  <si>
    <t>Github.webp</t>
  </si>
  <si>
    <t>Vercel</t>
  </si>
  <si>
    <t>Vercel.webp</t>
  </si>
  <si>
    <t>AI Ecosystem</t>
  </si>
  <si>
    <t>#9a6bf0</t>
  </si>
  <si>
    <t>Large Language Models</t>
  </si>
  <si>
    <t>Claude</t>
  </si>
  <si>
    <t>Claude.webp</t>
  </si>
  <si>
    <t>DeepSeek</t>
  </si>
  <si>
    <t>Deepseek.webp</t>
  </si>
  <si>
    <t>AI Dev &amp; Research</t>
  </si>
  <si>
    <t>#b48cf5</t>
  </si>
  <si>
    <t>Notebook LLM</t>
  </si>
  <si>
    <t>Notebook LLM.webp</t>
  </si>
  <si>
    <t>Content Creation</t>
  </si>
  <si>
    <t>#ef5f96</t>
  </si>
  <si>
    <t>Design &amp; Creative</t>
  </si>
  <si>
    <t>Figma</t>
  </si>
  <si>
    <t>Figma.webp</t>
  </si>
  <si>
    <t>Canva</t>
  </si>
  <si>
    <t>Canva.webp</t>
  </si>
  <si>
    <t>Video &amp; Animation</t>
  </si>
  <si>
    <t>#f585b4</t>
  </si>
  <si>
    <t>CapCut</t>
  </si>
  <si>
    <t>CapCut.webp</t>
  </si>
  <si>
    <t>Blender</t>
  </si>
  <si>
    <t>Blendr.webp</t>
  </si>
  <si>
    <t>Office Collaboration</t>
  </si>
  <si>
    <t>#20b3a5</t>
  </si>
  <si>
    <t>Office Suites</t>
  </si>
  <si>
    <t>MsOffice</t>
  </si>
  <si>
    <t>Office 365.webp</t>
  </si>
  <si>
    <t>Workspace</t>
  </si>
  <si>
    <t>Workspace.webp</t>
  </si>
  <si>
    <t>Commerce</t>
  </si>
  <si>
    <t>#e3a03c</t>
  </si>
  <si>
    <t>Accounting</t>
  </si>
  <si>
    <t>QuickBooks</t>
  </si>
  <si>
    <t>QuickBooks.webp</t>
  </si>
  <si>
    <t>Sales &amp; Leads</t>
  </si>
  <si>
    <t>#ecb75f</t>
  </si>
  <si>
    <t>ZoomInfo</t>
  </si>
  <si>
    <t>ZoomInfo.webp</t>
  </si>
  <si>
    <t>Investing &amp; Trading</t>
  </si>
  <si>
    <t>#f2ca7e</t>
  </si>
  <si>
    <t>TradingView</t>
  </si>
  <si>
    <t>Trading View.webp</t>
  </si>
  <si>
    <t>Education</t>
  </si>
  <si>
    <t>#f0663f</t>
  </si>
  <si>
    <t>Learning Platforms</t>
  </si>
  <si>
    <t>Coursera</t>
  </si>
  <si>
    <t>Coursera.webp</t>
  </si>
  <si>
    <t>Teaching Platforms</t>
  </si>
  <si>
    <t>#d8481f</t>
  </si>
  <si>
    <t>Superprof</t>
  </si>
  <si>
    <t>Superprof.webp</t>
  </si>
  <si>
    <t>Name</t>
  </si>
  <si>
    <t>Year</t>
  </si>
  <si>
    <t>Role</t>
  </si>
  <si>
    <t>Start</t>
  </si>
  <si>
    <t>End</t>
  </si>
  <si>
    <t>Location</t>
  </si>
  <si>
    <t>Back_Description</t>
  </si>
  <si>
    <t>Content Crab</t>
  </si>
  <si>
    <t>Content Crab.webp</t>
  </si>
  <si>
    <t>2020</t>
  </si>
  <si>
    <t>#DigitalMarketing</t>
  </si>
  <si>
    <t>Content Writer</t>
  </si>
  <si>
    <t>Mar 2020</t>
  </si>
  <si>
    <t>Mar 2023</t>
  </si>
  <si>
    <t>Remote</t>
  </si>
  <si>
    <t>Axle Global</t>
  </si>
  <si>
    <t>Axle Global.webp</t>
  </si>
  <si>
    <t>2022</t>
  </si>
  <si>
    <t>Mar 2022</t>
  </si>
  <si>
    <t>Mar 2025</t>
  </si>
  <si>
    <t>Hybrid</t>
  </si>
  <si>
    <t>Third Space Global</t>
  </si>
  <si>
    <t>Third Space Global.webp</t>
  </si>
  <si>
    <t>2023</t>
  </si>
  <si>
    <t>#Education</t>
  </si>
  <si>
    <t>Online Math Tutor</t>
  </si>
  <si>
    <t>Jul 2022</t>
  </si>
  <si>
    <t>Dec 2022</t>
  </si>
  <si>
    <t>Online</t>
  </si>
  <si>
    <t>SEDS KDU</t>
  </si>
  <si>
    <t>SEDS KDU.webp</t>
  </si>
  <si>
    <t>#SpaceExploration</t>
  </si>
  <si>
    <t>Founder &amp; President</t>
  </si>
  <si>
    <t>Jan 2023</t>
  </si>
  <si>
    <t>Jan 2024</t>
  </si>
  <si>
    <t>On-site</t>
  </si>
  <si>
    <t>SEDS Sri Lanka</t>
  </si>
  <si>
    <t>SEDS Sri Lanka.webp</t>
  </si>
  <si>
    <t>Chairperson of the Board</t>
  </si>
  <si>
    <t>Mar 2024</t>
  </si>
  <si>
    <t>SriLankan Airlines</t>
  </si>
  <si>
    <t>SriLankan Engineering.webp</t>
  </si>
  <si>
    <t>#AeroEngineering</t>
  </si>
  <si>
    <t>Tech Services Engineer</t>
  </si>
  <si>
    <t>Oct 2023</t>
  </si>
  <si>
    <t>National flag carrier of Sri Lanka, managing a fleet of 24 Airbus aircrafts. Joined the CAMO division, collaborating with Technical Services Engineers on a variety of initiatives involving Aircraft Structures and Cabin Interiors.</t>
  </si>
  <si>
    <t>UUDS AERO DWC</t>
  </si>
  <si>
    <t>UUDS Aero DWC.webp</t>
  </si>
  <si>
    <t>2024</t>
  </si>
  <si>
    <t>Design Engineer</t>
  </si>
  <si>
    <t>Jul 2024</t>
  </si>
  <si>
    <t>Present</t>
  </si>
  <si>
    <t>Satocci</t>
  </si>
  <si>
    <t>Satocci.webp</t>
  </si>
  <si>
    <t>2025</t>
  </si>
  <si>
    <t>#FinTech</t>
  </si>
  <si>
    <t>EA to the CEO</t>
  </si>
  <si>
    <t>Aug 2025</t>
  </si>
  <si>
    <t>Feb 2026</t>
  </si>
  <si>
    <t>Engaging in Sales-Ops for an innovative Nordic Fin-tech startup, revolutionizing the retail experience. The mobile platform allows consumers to instantly scan and pay in-store, bypass checkout lines, and automatically track spending.</t>
  </si>
  <si>
    <t>SGAC</t>
  </si>
  <si>
    <t>SGAC.webp</t>
  </si>
  <si>
    <t>2026</t>
  </si>
  <si>
    <t>Member</t>
  </si>
  <si>
    <t>Jul 2026</t>
  </si>
  <si>
    <t>Supporting the UN Programme on Space Applications, representing students and young professionals worldwide. SGAC provides a global platform to network, share research, and directly contribute to international space policy.</t>
  </si>
  <si>
    <t>Years</t>
  </si>
  <si>
    <t>Title</t>
  </si>
  <si>
    <t>Blurb</t>
  </si>
  <si>
    <t>Lyceum International School</t>
  </si>
  <si>
    <t>LIS.webp</t>
  </si>
  <si>
    <t>2005-20</t>
  </si>
  <si>
    <t>Wattala · LK</t>
  </si>
  <si>
    <t>First XI Cricket Captain · Head House Captain · Senior Prefect</t>
  </si>
  <si>
    <t>Top 8 Most Popular Schoolboy Cricketers (2019) · Gampaha District Cricket Squad (Zone I) · Sports Colors · Drama Society · IGCSE O/L: 4A* 2A 1C 1E · GCE O/L: 3A 2B 1C · GCE A/L: 2C 1S (Z - 0.7788)</t>
  </si>
  <si>
    <t>Gen. Sir John Kotelawala Defence University</t>
  </si>
  <si>
    <t>KDU.webp</t>
  </si>
  <si>
    <t>2020-24</t>
  </si>
  <si>
    <t>Ratmalana · LK</t>
  </si>
  <si>
    <t>Bachelor of Science (Honors), Aeronautical Engineering: 2nd Class Upper</t>
  </si>
  <si>
    <t>3.6 GPA · 2nd in Order of Merit · Cricketer · Founder: SEDS KDU · Board of Directors: SEDS SL · 3 Research Ventures in Aerodynamics x 3 Awards · x3 Time Dean's List Appearance (2021,2022,2024)</t>
  </si>
  <si>
    <t>European Institute of Innovation for Sustainability</t>
  </si>
  <si>
    <t>EIIS.webp</t>
  </si>
  <si>
    <t>2025-26</t>
  </si>
  <si>
    <t>Rome · IT</t>
  </si>
  <si>
    <t>Master of Arts, Space Entrepreneurship · Winner: Space Entrepreneurship Challenge</t>
  </si>
  <si>
    <t>In Partnership with: Airbus, Thales Alenia Space, Global Entrepreneurship Network, Women in Aerospace · 1 in 24 International Students · Winning Team Lead: EIIS x Airbus Space Entrepreneurship Challenge</t>
  </si>
  <si>
    <t>Description</t>
  </si>
  <si>
    <t>Explanation</t>
  </si>
  <si>
    <t>Tags</t>
  </si>
  <si>
    <t>Thumbnail</t>
  </si>
  <si>
    <t>Media</t>
  </si>
  <si>
    <t>Aquila: An Energy Grid for Space</t>
  </si>
  <si>
    <t>Winner: EIIS x Airbus Annual Space Entrepreneurship Challenge Solving the Space Debris Challenge in an Sustainable Manner</t>
  </si>
  <si>
    <t>As space based assets increase exponentially, so does the threat of Space Debris. The major problem is: who is going to pay to
pick out the trash? Especially when it is flying past seven times the speed of a Sniper bullet in Low Earth Orbit. The Kessler
Syndrome could lead to the immediate demise of the Space Economy. So whose to solve it and how?
Aquila Aerospace set it's scope to directly tackle a regulatory requirements for Space Debris Mitigation: Passivation. Instead of "policing" space assets, we've conceptualized a novel network of onboard sensors and a SaaS such that it benefits operators, in-orbit services providers, regulators, insurers and SSA/STM service providers (TRL 2-3).</t>
  </si>
  <si>
    <t>Aerospace</t>
  </si>
  <si>
    <t>Project 1/1-1.webp</t>
  </si>
  <si>
    <t>Project 1/1-1.webp|Project 1/1-2.webp|Project 1/1-3.webp|Project 1/1-4.webp</t>
  </si>
  <si>
    <t>NO</t>
  </si>
  <si>
    <t>Aerodynamics of a Nano-Coated Airfoil 1/2</t>
  </si>
  <si>
    <t>Numeric Approach (CFD) | Winner: Best Research Project (2024), Department of Aeronautical Engineering</t>
  </si>
  <si>
    <t>Superhydrophobic Surfaces are still cool. In Project 1, the novel study discovered that the superhydrophobic surface properties had
a positive impact on the overall aerodynamics of the flat plate and the relationship of aerodynamics with the coated area was non-linear. How would it fair with the aerodynamic body being an Airfoil? Would it have more exaggerated effects?
In this secondary study I used OpenFOAM and SolidWorks to assess the aerodynamics of a NACA 4412 Airfoil, bearing the same principle
mode of analysis as in Project #1, but for multiple Angles of Attack. Once again, superhydrophobic airfoils, especially those that are partially superhydrophobic, outperformed conventional uncoated airfoils and fully superhydrophobic airfoils.</t>
  </si>
  <si>
    <t>Project 2/2-1.webp</t>
  </si>
  <si>
    <t>YES</t>
  </si>
  <si>
    <t>Aerodynamics of a Nano-Coated Airfoil 2/2</t>
  </si>
  <si>
    <t>Experimental Approach (Lab) | Grant of LKR 1Mn Approved by Combinatorial Advanced Research &amp; Education (KDU-CARE)</t>
  </si>
  <si>
    <t>Yes. Superhydrophobic surfaces are still cool as they were. Projects 1 and 2 had proved that there are positive benefits of
changing the surface properties of aerodynamic bodies at the nanoscale, but these were virtual simulations. The next step was to
perform Project 2 under lab conditions to observe how superhydrophobic surfaces perform aerodynamically in a real-world scenario.
The experimental design, value proposition, budgetary requirements and timeline was pitched to the heads of faculties and
representatives of KDU-CARE. It was decided that a research grant of 1 Million LKR would be awarded, however, due to administrative delays, the project did not kickoff and was paused indefinitely.</t>
  </si>
  <si>
    <t>Project 3/3-1.webp</t>
  </si>
  <si>
    <t>Aerodynamics of a Nano-Coated Flat Plate</t>
  </si>
  <si>
    <t>Numeric Approach (CFD) | Winner: Best Poster Presentation, 16th International Research Conference (IRC)</t>
  </si>
  <si>
    <t>Superhydrophobic Surfaces are cool. They are self-cleaning, anti-corrosive, anti-microbial, anti-icing and anti-biofouling
water repellent surfaces. Versatility across multiple industrial applications. But how about their aerodynamic performance?
Do they induce more lift and less drag when coated onto traditional aerodynamic bodies?
In this preliminary study I used OpenFOAM as a Computational Fluid Dynamics tool to assess what happens when "coating" the most
basic aerodynamic body (a flat plate) with superhydrophobic properties, for partial increments along its chord length. This method
helped analyze what the most optimal degree of coating would be to achieve the best aerodynamics possible.</t>
  </si>
  <si>
    <t>Aerospace Entrepreneurship</t>
  </si>
  <si>
    <t>Project 4/4-1.webp</t>
  </si>
  <si>
    <t>Developing a 3D Model of a Jet Engine</t>
  </si>
  <si>
    <t>Designing a Jet Engine from scratch using a 2D Draft as a Sketch Picture</t>
  </si>
  <si>
    <t>Project 5/5-1.webp</t>
  </si>
  <si>
    <t>Project 5/5-1.webp|Project 5/5-2.webp</t>
  </si>
  <si>
    <t>HYDRATech: Local Nanocoating Production</t>
  </si>
  <si>
    <t>1,300+ Applicants at Entry to Semi-Finalists:
IEEE Innovation Nation Sri Lanka (2021)</t>
  </si>
  <si>
    <t>IEEE Innovation Nation Sri Lanka (INSL) is a premier national pre-accelerator program designed to cultivate an entrepreneurial and innovation-driven culture among young innovators and university students. Organized by the IEEE Sri Lanka Section, it empowers early-stage startups through intensive training, mentorship, and opportunities to secure seed funding and investor backing.
HYDRATech aimed at manufacturing Superhydrophobic coatings in Sri Lanka, by prioritizing locally available resources. Superhydrophobic surfaces are inherently water-repellent surfaces due to the presence of unique nanostructures on the surface. The project failed
to make it through to the final stage due to the Capital Intensive nature of the project.</t>
  </si>
  <si>
    <t>Project 6/6-1.webp</t>
  </si>
  <si>
    <t>Issuer</t>
  </si>
  <si>
    <t>Verification Link</t>
  </si>
  <si>
    <t>Certificate</t>
  </si>
  <si>
    <t>Subject</t>
  </si>
  <si>
    <t>Series</t>
  </si>
  <si>
    <t>Master of Arts - Space Entrepreneurship</t>
  </si>
  <si>
    <t>EIIS</t>
  </si>
  <si>
    <t>Aerospace Engineering, Business &amp; Entrepreneurship</t>
  </si>
  <si>
    <t>Acceptance Letter - EIIS</t>
  </si>
  <si>
    <t>Digitalisation in Aeronautics</t>
  </si>
  <si>
    <t>Technical University of Munich</t>
  </si>
  <si>
    <t>https://www.coursera.org/account/accomplishments/verify/3WUDH2EMK2LJ</t>
  </si>
  <si>
    <t>Aerospace Engineering</t>
  </si>
  <si>
    <t>TUM Digitalisation in Aerospace</t>
  </si>
  <si>
    <t>Digitalisation in Space Research</t>
  </si>
  <si>
    <t>https://www.coursera.org/account/accomplishments/verify/4E6HK8QDWH6H</t>
  </si>
  <si>
    <t>Digitalisation in the Aerospace Industry</t>
  </si>
  <si>
    <t>https://www.coursera.org/account/accomplishments/verify/L8PEPDQR6EKL</t>
  </si>
  <si>
    <t>Aerospace Materials</t>
  </si>
  <si>
    <t>Tomsk Aerospace University</t>
  </si>
  <si>
    <t>https://www.coursera.org/account/accomplishments/verify/MBQSVGN6GVH9</t>
  </si>
  <si>
    <t>Robotics - Aerial Robotics</t>
  </si>
  <si>
    <t>University of Pennsylvania</t>
  </si>
  <si>
    <t>https://www.coursera.org/account/accomplishments/verify/2NZXDQTQWSA7</t>
  </si>
  <si>
    <t>Kotelawala Defense University</t>
  </si>
  <si>
    <t>Best Poster Presentation</t>
  </si>
  <si>
    <t>KDU International Research Conference</t>
  </si>
  <si>
    <t>Paper Presentation at IRC</t>
  </si>
  <si>
    <t>BSc. (Hons) Aeronautical Engineering</t>
  </si>
  <si>
    <t>SEDS</t>
  </si>
  <si>
    <t>Chairperson - SEDS SL</t>
  </si>
  <si>
    <t>President - SEDS KDU</t>
  </si>
  <si>
    <t>Service Letter</t>
  </si>
  <si>
    <t>Semi-Finalists - IEEE INSL 2021</t>
  </si>
  <si>
    <t>IEEE INSL</t>
  </si>
  <si>
    <t>https://www.linkedin.com/feed/update/urn:li:activity:6856230081409499136/</t>
  </si>
  <si>
    <t>Business &amp; Entrepreneurship</t>
  </si>
  <si>
    <t>Inter-Faculty Cricket (2022)</t>
  </si>
  <si>
    <t>Sports</t>
  </si>
  <si>
    <t>Inter-Faculty Cricket (2023)</t>
  </si>
  <si>
    <t>Leadership Program (2020)</t>
  </si>
  <si>
    <t>Leadership &amp; Management</t>
  </si>
  <si>
    <t>Leadership Program (2017)</t>
  </si>
  <si>
    <t>Foundations of Project Management</t>
  </si>
  <si>
    <t>Google</t>
  </si>
  <si>
    <t>https://coursera.org/verify/ZXNFNKQYSMK3</t>
  </si>
  <si>
    <t>Google Project Management</t>
  </si>
  <si>
    <t>Project Initiation - Starting a Successful Project</t>
  </si>
  <si>
    <t>https://coursera.org/verify/BJZGG598RWS8</t>
  </si>
  <si>
    <t>Project Planning - Putting It All Together</t>
  </si>
  <si>
    <t>https://coursera.org/verify/HCMMZJJPRT68</t>
  </si>
  <si>
    <t>Introduction to Marketing</t>
  </si>
  <si>
    <t>https://www.coursera.org/account/accomplishments/verify/N9ELLGLJ5JSS</t>
  </si>
  <si>
    <t>Fundamentals of Digital Marketing</t>
  </si>
  <si>
    <t>Digital Marketing</t>
  </si>
  <si>
    <t>Claude 101</t>
  </si>
  <si>
    <t>Anthropic</t>
  </si>
  <si>
    <t>https://verify.skilljar.com/c/kvp3s5ir6n2t</t>
  </si>
  <si>
    <t>Artificial Intelligence</t>
  </si>
  <si>
    <t>Anthropic AI Curriculum</t>
  </si>
  <si>
    <t>Claude Code 101</t>
  </si>
  <si>
    <t>https://verify.skilljar.com/c/abbvrauishf5</t>
  </si>
  <si>
    <t>Claude Platform 101</t>
  </si>
  <si>
    <t>https://verify.skilljar.com/c/9iiahw7qfgku</t>
  </si>
  <si>
    <t>Introduction to Claude Cowork</t>
  </si>
  <si>
    <t>https://verify.skilljar.com/c/ksw8mdothntb</t>
  </si>
  <si>
    <t>Claude Code in Action</t>
  </si>
  <si>
    <t>https://verify.skilljar.com/c/zjtnrq3jsj37</t>
  </si>
  <si>
    <t>AI Fluency - Frameworks &amp; Foundations</t>
  </si>
  <si>
    <t>https://verify.skilljar.com/c/ziji9iknr4rs</t>
  </si>
  <si>
    <t>Introduction to Model Context Protocol</t>
  </si>
  <si>
    <t>https://verify.skilljar.com/c/8q3dx4s43rnb</t>
  </si>
  <si>
    <t>Model Context Protocol - Advanced Topics</t>
  </si>
  <si>
    <t>https://verify.skilljar.com/c/vxo27r2hm3c5</t>
  </si>
  <si>
    <t>AI Fluency for Educators</t>
  </si>
  <si>
    <t>https://verify.skilljar.com/c/nkudubifd9k9</t>
  </si>
  <si>
    <t>AI Fluency for Students</t>
  </si>
  <si>
    <t>https://verify.skilljar.com/c/opmc82urpi9r</t>
  </si>
  <si>
    <t>Teaching the AI Fluency Framework</t>
  </si>
  <si>
    <t>https://verify.skilljar.com/c/z4dhmjvqjgs9</t>
  </si>
  <si>
    <t>AI Fluency for Non-Profits</t>
  </si>
  <si>
    <t>https://verify.skilljar.com/c/63p6ibyg359x</t>
  </si>
  <si>
    <t>AI Fluency for Small Businesses</t>
  </si>
  <si>
    <t>https://verify.skilljar.com/c/ogn6rbwcgspk</t>
  </si>
  <si>
    <t>Introduction to Agent Skills</t>
  </si>
  <si>
    <t>https://verify.skilljar.com/c/7fgvgpbe3748</t>
  </si>
  <si>
    <t>Introduction to Sub-Agents</t>
  </si>
  <si>
    <t>https://verify.skilljar.com/c/ud8upnkzvaw5</t>
  </si>
  <si>
    <t>AI Capabilities &amp; Limitations</t>
  </si>
  <si>
    <t>https://verify.skilljar.com/c/jbzi5nvbu8mq</t>
  </si>
  <si>
    <t>Claude with Anthropic API</t>
  </si>
  <si>
    <t>https://verify.skilljar.com/c/k3cc8hxpsnrz</t>
  </si>
  <si>
    <t>Claude with Google Vertex AI</t>
  </si>
  <si>
    <t>https://verify.skilljar.com/c/2hfhvkfsyo6x</t>
  </si>
  <si>
    <t>Claude with Amazon Bedrock</t>
  </si>
  <si>
    <t>https://verify.skilljar.com/c/8s2ai6kfaduc</t>
  </si>
  <si>
    <t>Getting Started with Python</t>
  </si>
  <si>
    <t>University of Michigan</t>
  </si>
  <si>
    <t>https://www.coursera.org/account/accomplishments/verify/2XHJWDZB2XSY</t>
  </si>
  <si>
    <t>Programming &amp; IT</t>
  </si>
  <si>
    <t>Gampaha District Cricket Team</t>
  </si>
  <si>
    <t>GDCA &amp; Sri Lanka Cricket</t>
  </si>
  <si>
    <t>Sports Colors - Cricket</t>
  </si>
  <si>
    <t>All-Island U19 DIII Semi-Finalists (2019)</t>
  </si>
  <si>
    <t>Sri Lanka Schools Cricket Association</t>
  </si>
  <si>
    <t>School Leaving Certificate</t>
  </si>
  <si>
    <t>School</t>
  </si>
  <si>
    <t>Character Certificate</t>
  </si>
  <si>
    <t>Advanced Level Results</t>
  </si>
  <si>
    <t>Department of Examintaions SL</t>
  </si>
  <si>
    <t>IGCSE OL Results</t>
  </si>
  <si>
    <t>Cambridge International Examinations</t>
  </si>
  <si>
    <t>Post_Link</t>
  </si>
  <si>
    <t>Winners: Space Entrepreneurship Challenge</t>
  </si>
  <si>
    <t>5th Edition organized by EIIS with Airbus D&amp;S, tied to the Master of Arts in Space Entrepreneurship.</t>
  </si>
  <si>
    <t>thumbs/1.webp</t>
  </si>
  <si>
    <t>https://www.linkedin.com/posts/melodi-askelof_innovation-resilience-execution-activity-7460594246371434496-iSyu?utm_source=share&amp;utm_medium=member_desktop&amp;rcm=ACoAADSwLqIBLzQLDm-Klx9wMM6NKZChtEvLQUo</t>
  </si>
  <si>
    <t>SEDS SL's Best Local Chapter</t>
  </si>
  <si>
    <t>thumbs/2.webp</t>
  </si>
  <si>
    <t>https://www.linkedin.com/posts/seds-kdu_sedskdu-bestoverallchapter-teamwork-activity-7315058728968286208-UoCm?utm_source=social_share_send&amp;utm_medium=android_app&amp;rcm=ACoAADSwLqIBLzQLDm-Klx9wMM6NKZChtEvLQUo&amp;utm_campaign=copy_link</t>
  </si>
  <si>
    <t>Vishal Appointed as Chairperson of SEDS SL</t>
  </si>
  <si>
    <t>thumbs/3.webp</t>
  </si>
  <si>
    <t>https://foe.kdu.ac.lk/aero/2024/04/18/vishal-perera-appointed-as-chairperson-seds-sri-lanka-39</t>
  </si>
  <si>
    <t>Best Research Project</t>
  </si>
  <si>
    <t>Awarded by the Department of Aeronautical Engineering at the Final Year Exhibition, KDU.</t>
  </si>
  <si>
    <t>thumbs/4.webp</t>
  </si>
  <si>
    <t>https://www.instagram.com/p/C4Vd0d1REmQ/?igsh=MWw1YTY1emcxcDM5Yg==</t>
  </si>
  <si>
    <t>Congratulations: Vishal Perera of SEDS KDU!</t>
  </si>
  <si>
    <t>Congratulatory post by SEDS KDU for the role ahead as National Chairperson.</t>
  </si>
  <si>
    <t>thumbs/5.webp</t>
  </si>
  <si>
    <t>https://www.instagram.com/p/C4Sr1ssxqcH/?igsh=MXVidWI1OTRlZG9pcQ==</t>
  </si>
  <si>
    <t>Introducing the Chairperson of SEDS SL</t>
  </si>
  <si>
    <t>Introductory Feature on the newly appointed Board of Directors of SEDS Sri Lanka, 2024-25.</t>
  </si>
  <si>
    <t>thumbs/6.webp</t>
  </si>
  <si>
    <t>https://foe.kdu.ac.lk/aero/2022/08/13/formation-of-the-space-force-27</t>
  </si>
  <si>
    <t>Article on the formation of the SEDS KDU Local Chapter as the Founding Board.</t>
  </si>
  <si>
    <t>thumbs/7.webp</t>
  </si>
  <si>
    <t>https://foe.kdu.ac.lk/aero/2024/01/24/final-year-project-exhibition-2024-35</t>
  </si>
  <si>
    <t>Conceptualizing a startup aiming to produce nanotech based coatings, locally.</t>
  </si>
  <si>
    <t>thumbs/8.webp</t>
  </si>
  <si>
    <t>https://www.facebook.com/IEEEINSL/posts/here-we-present-to-you-the-most-talented-semi-finalists-whose-hard-work-dedicati/3027737500833258/</t>
  </si>
  <si>
    <t>Entrepreneurship</t>
  </si>
  <si>
    <t>Winners: Pentathlon 2022</t>
  </si>
  <si>
    <t>An inter-university article-writing competition hosted by MoraSpirit, a premier sports network.</t>
  </si>
  <si>
    <t>thumbs/9.webp</t>
  </si>
  <si>
    <t>https://www.facebook.com/MoraSpirit/posts/after-a-close-competition-between-all-the-participants-we-are-pleased-to-inform-/424187246412243/</t>
  </si>
  <si>
    <t>Climate Crisis and Clean Energy</t>
  </si>
  <si>
    <t>Article on the Severity of the Climate Crisis. Competition organized by the IEEE SLTC.</t>
  </si>
  <si>
    <t>thumbs/10.webp</t>
  </si>
  <si>
    <t>https://www.facebook.com/photo?fbid=1106724503145581&amp;set=a.1106720086479356</t>
  </si>
  <si>
    <t>Clean Energy</t>
  </si>
  <si>
    <t>batsman.lk nominee based on performers at the All-Island School's Cricket Tournament (D2) 2019</t>
  </si>
  <si>
    <t>thumbs/11.webp</t>
  </si>
  <si>
    <t>https://www.facebook.com/reel/2660611044253733</t>
  </si>
  <si>
    <t>thumbs/12.webp</t>
  </si>
  <si>
    <t>https://www.thepapare.com/u19-schools-cricket-division-2-1st-week-of-january-2020-roundup/</t>
  </si>
  <si>
    <t>Daily News: 176 Runs vs Royal Panadura</t>
  </si>
  <si>
    <t>thumbs/13.webp</t>
  </si>
  <si>
    <t>Formation of the “Space Force”</t>
  </si>
  <si>
    <t>Semi Finalists: IEEE Innovation Nation SL</t>
  </si>
  <si>
    <t>Top 8: Most Popular Schoolboy Cricketers</t>
  </si>
  <si>
    <t>Stats Alert: 176 Runs vs Royal Panadura</t>
  </si>
  <si>
    <t>"Vishal Perera skipper and right hand opener of LISW scored 176 runs in 202 balls…"</t>
  </si>
  <si>
    <t>"Vishal Perera's 176 was the highlight for the Wattala boys in that game."</t>
  </si>
  <si>
    <t>Leading the 7th Board of Directors and Board of Staff of SEDS Sri Lanka (2024/25).</t>
  </si>
  <si>
    <t>Recognised as the Best Overall Local Chapter by SEDS Sri Lanka, within two years of its inception.</t>
  </si>
  <si>
    <t>Developing a 3D Model of an A380</t>
  </si>
  <si>
    <t>Designing an A380 exterior from scratch using a 2D Draft as a Sketch Picture</t>
  </si>
  <si>
    <t>Project 7/7-1.webp</t>
  </si>
  <si>
    <t>Project 2/2-1.webp|Project 2/2-2.webp|Project 2/2-3.webp|Project 2/2-4.webp|Project 2/2-5.webp|Project 2/2-6.webp|Project 2/2-7.webp|Project 2/2-8.webp</t>
  </si>
  <si>
    <t>Project 3/3-1.webp|Project 3/3-2.webp|Project 3/3-3.webp|Project 3/3-4.webp|Project 3/3-5.webp</t>
  </si>
  <si>
    <t>Project 7/7-1.webp|Project 7/7-2.webp|Project 7/7-3.webp</t>
  </si>
  <si>
    <t>An international content agency serving clients across multiple industries such as Tourism, Tech, and Entertainment. Researched and delivered over 100+ SEO articles, blogs, and marketing copies to drive engagement.</t>
  </si>
  <si>
    <t>A startup specialized in digital transformation. Close partners with the Founder, helping revitalize the digital landscapes of our clientele through engaging Web and SEO content that improves conversion rates.</t>
  </si>
  <si>
    <t>An Ed-Tech platform delivering student-centric, 1-to-1 online tutoring for primary and pre-schoolers in the UK. Excelled in balancing young learners' emotional wellbeing, theroetical understanding and timely syllabus execution.</t>
  </si>
  <si>
    <t>A dedicated local chapter of a global student-based space organization, designed to foster future aerospace talent and space exploration enthusiasts. Established #TheSpaceForce out of a profound passion for all things Space.</t>
  </si>
  <si>
    <t>Sri Lanka's largest student-based space organization, with a network of local chapters across universities and schools. The Board of Directors &amp; Staff coordinated and drove key national and international outreach initiatives.</t>
  </si>
  <si>
    <t>A French multinational aviation corporation based in Dubai, operating under EASA Part 21J (DOA), 21G (POA), and Part 145 (AMO) approvals. Joined full-time six months prior to graduation, serving as a Design Industrialization Engineer.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</si>
</sst>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workbookViewId="0">
      <selection activeCell="F10" sqref="F10"/>
    </sheetView>
  </sheetViews>
  <sheetFormatPr defaultRowHeight="14.5" x14ac:dyDescent="0.35"/>
  <cols>
    <col min="1" max="1" width="2.6328125" bestFit="1" customWidth="1"/>
    <col min="2" max="2" width="26.08984375" bestFit="1" customWidth="1"/>
  </cols>
  <sheetData>
    <row r="1" spans="1:3" x14ac:dyDescent="0.35">
      <c r="A1" t="s">
        <v>0</v>
      </c>
      <c r="B1" t="s">
        <v>1</v>
      </c>
      <c r="C1" t="s">
        <v>2</v>
      </c>
    </row>
    <row r="2" spans="1:3" x14ac:dyDescent="0.35">
      <c r="A2">
        <v>1</v>
      </c>
      <c r="B2" t="s">
        <v>3</v>
      </c>
      <c r="C2" t="s">
        <v>4</v>
      </c>
    </row>
    <row r="3" spans="1:3" x14ac:dyDescent="0.35">
      <c r="A3">
        <v>2</v>
      </c>
      <c r="B3" t="s">
        <v>5</v>
      </c>
      <c r="C3" t="s">
        <v>6</v>
      </c>
    </row>
    <row r="4" spans="1:3" x14ac:dyDescent="0.35">
      <c r="A4">
        <v>3</v>
      </c>
      <c r="B4" t="s">
        <v>7</v>
      </c>
      <c r="C4" t="s">
        <v>8</v>
      </c>
    </row>
    <row r="5" spans="1:3" x14ac:dyDescent="0.35">
      <c r="A5">
        <v>4</v>
      </c>
      <c r="B5" t="s">
        <v>9</v>
      </c>
      <c r="C5" t="s">
        <v>10</v>
      </c>
    </row>
    <row r="6" spans="1:3" x14ac:dyDescent="0.35">
      <c r="A6">
        <v>5</v>
      </c>
      <c r="B6" t="s">
        <v>11</v>
      </c>
      <c r="C6" t="s">
        <v>12</v>
      </c>
    </row>
    <row r="7" spans="1:3" x14ac:dyDescent="0.35">
      <c r="A7">
        <v>6</v>
      </c>
      <c r="B7" t="s">
        <v>13</v>
      </c>
      <c r="C7" t="s">
        <v>14</v>
      </c>
    </row>
    <row r="8" spans="1:3" x14ac:dyDescent="0.35">
      <c r="A8">
        <v>7</v>
      </c>
      <c r="B8" t="s">
        <v>15</v>
      </c>
      <c r="C8"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topLeftCell="A16" workbookViewId="0">
      <selection activeCell="H31" sqref="H31"/>
    </sheetView>
  </sheetViews>
  <sheetFormatPr defaultRowHeight="14.5" x14ac:dyDescent="0.35"/>
  <cols>
    <col min="1" max="1" width="2.81640625" bestFit="1" customWidth="1"/>
    <col min="6" max="6" width="12.90625" bestFit="1" customWidth="1"/>
  </cols>
  <sheetData>
    <row r="1" spans="1:8" x14ac:dyDescent="0.35">
      <c r="A1" t="s">
        <v>0</v>
      </c>
      <c r="B1" t="s">
        <v>17</v>
      </c>
      <c r="C1" t="s">
        <v>18</v>
      </c>
      <c r="D1" t="s">
        <v>19</v>
      </c>
      <c r="E1" t="s">
        <v>20</v>
      </c>
      <c r="F1" t="s">
        <v>21</v>
      </c>
      <c r="G1" t="s">
        <v>1</v>
      </c>
      <c r="H1" t="s">
        <v>22</v>
      </c>
    </row>
    <row r="2" spans="1:8" x14ac:dyDescent="0.35">
      <c r="A2">
        <v>1</v>
      </c>
      <c r="B2" t="s">
        <v>23</v>
      </c>
      <c r="C2" t="s">
        <v>24</v>
      </c>
      <c r="D2" t="s">
        <v>25</v>
      </c>
      <c r="E2" t="s">
        <v>24</v>
      </c>
      <c r="F2" t="s">
        <v>26</v>
      </c>
      <c r="G2" t="s">
        <v>27</v>
      </c>
      <c r="H2">
        <v>4.93</v>
      </c>
    </row>
    <row r="3" spans="1:8" x14ac:dyDescent="0.35">
      <c r="A3">
        <v>2</v>
      </c>
      <c r="B3" t="s">
        <v>23</v>
      </c>
      <c r="C3" t="s">
        <v>24</v>
      </c>
      <c r="D3" t="s">
        <v>25</v>
      </c>
      <c r="E3" t="s">
        <v>24</v>
      </c>
      <c r="F3" t="s">
        <v>28</v>
      </c>
      <c r="G3" t="s">
        <v>29</v>
      </c>
      <c r="H3">
        <v>2.99</v>
      </c>
    </row>
    <row r="4" spans="1:8" x14ac:dyDescent="0.35">
      <c r="A4">
        <v>3</v>
      </c>
      <c r="B4" t="s">
        <v>23</v>
      </c>
      <c r="C4" t="s">
        <v>24</v>
      </c>
      <c r="D4" t="s">
        <v>25</v>
      </c>
      <c r="E4" t="s">
        <v>24</v>
      </c>
      <c r="F4" t="s">
        <v>30</v>
      </c>
      <c r="G4" t="s">
        <v>31</v>
      </c>
      <c r="H4">
        <v>2.73</v>
      </c>
    </row>
    <row r="5" spans="1:8" x14ac:dyDescent="0.35">
      <c r="A5">
        <v>4</v>
      </c>
      <c r="B5" t="s">
        <v>23</v>
      </c>
      <c r="C5" t="s">
        <v>24</v>
      </c>
      <c r="D5" t="s">
        <v>25</v>
      </c>
      <c r="E5" t="s">
        <v>24</v>
      </c>
      <c r="F5" t="s">
        <v>32</v>
      </c>
      <c r="G5" t="s">
        <v>33</v>
      </c>
      <c r="H5">
        <v>5.74</v>
      </c>
    </row>
    <row r="6" spans="1:8" x14ac:dyDescent="0.35">
      <c r="A6">
        <v>5</v>
      </c>
      <c r="B6" t="s">
        <v>23</v>
      </c>
      <c r="C6" t="s">
        <v>24</v>
      </c>
      <c r="D6" t="s">
        <v>25</v>
      </c>
      <c r="E6" t="s">
        <v>24</v>
      </c>
      <c r="F6" t="s">
        <v>34</v>
      </c>
      <c r="G6" t="s">
        <v>35</v>
      </c>
      <c r="H6">
        <v>2.8</v>
      </c>
    </row>
    <row r="7" spans="1:8" x14ac:dyDescent="0.35">
      <c r="A7">
        <v>6</v>
      </c>
      <c r="B7" t="s">
        <v>23</v>
      </c>
      <c r="C7" t="s">
        <v>24</v>
      </c>
      <c r="D7" t="s">
        <v>25</v>
      </c>
      <c r="E7" t="s">
        <v>24</v>
      </c>
      <c r="F7" t="s">
        <v>36</v>
      </c>
      <c r="G7" t="s">
        <v>37</v>
      </c>
      <c r="H7">
        <v>4</v>
      </c>
    </row>
    <row r="8" spans="1:8" x14ac:dyDescent="0.35">
      <c r="A8">
        <v>7</v>
      </c>
      <c r="B8" t="s">
        <v>23</v>
      </c>
      <c r="C8" t="s">
        <v>24</v>
      </c>
      <c r="D8" t="s">
        <v>25</v>
      </c>
      <c r="E8" t="s">
        <v>24</v>
      </c>
      <c r="F8" t="s">
        <v>38</v>
      </c>
      <c r="G8" t="s">
        <v>39</v>
      </c>
      <c r="H8">
        <v>2.58</v>
      </c>
    </row>
    <row r="9" spans="1:8" x14ac:dyDescent="0.35">
      <c r="A9">
        <v>8</v>
      </c>
      <c r="B9" t="s">
        <v>23</v>
      </c>
      <c r="C9" t="s">
        <v>24</v>
      </c>
      <c r="D9" t="s">
        <v>40</v>
      </c>
      <c r="E9" t="s">
        <v>41</v>
      </c>
      <c r="F9" t="s">
        <v>42</v>
      </c>
      <c r="G9" t="s">
        <v>43</v>
      </c>
      <c r="H9">
        <v>2.02</v>
      </c>
    </row>
    <row r="10" spans="1:8" x14ac:dyDescent="0.35">
      <c r="A10">
        <v>9</v>
      </c>
      <c r="B10" t="s">
        <v>23</v>
      </c>
      <c r="C10" t="s">
        <v>24</v>
      </c>
      <c r="D10" t="s">
        <v>40</v>
      </c>
      <c r="E10" t="s">
        <v>41</v>
      </c>
      <c r="F10" t="s">
        <v>44</v>
      </c>
      <c r="G10" t="s">
        <v>45</v>
      </c>
      <c r="H10">
        <v>2.78</v>
      </c>
    </row>
    <row r="11" spans="1:8" x14ac:dyDescent="0.35">
      <c r="A11">
        <v>10</v>
      </c>
      <c r="B11" t="s">
        <v>23</v>
      </c>
      <c r="C11" t="s">
        <v>24</v>
      </c>
      <c r="D11" t="s">
        <v>46</v>
      </c>
      <c r="E11" t="s">
        <v>47</v>
      </c>
      <c r="F11" t="s">
        <v>48</v>
      </c>
      <c r="G11" t="s">
        <v>49</v>
      </c>
      <c r="H11">
        <v>1.89</v>
      </c>
    </row>
    <row r="12" spans="1:8" x14ac:dyDescent="0.35">
      <c r="A12">
        <v>11</v>
      </c>
      <c r="B12" t="s">
        <v>23</v>
      </c>
      <c r="C12" t="s">
        <v>24</v>
      </c>
      <c r="D12" t="s">
        <v>46</v>
      </c>
      <c r="E12" t="s">
        <v>47</v>
      </c>
      <c r="F12" t="s">
        <v>50</v>
      </c>
      <c r="G12" t="s">
        <v>51</v>
      </c>
      <c r="H12">
        <v>2.5</v>
      </c>
    </row>
    <row r="13" spans="1:8" x14ac:dyDescent="0.35">
      <c r="A13">
        <v>12</v>
      </c>
      <c r="B13" t="s">
        <v>23</v>
      </c>
      <c r="C13" t="s">
        <v>24</v>
      </c>
      <c r="D13" t="s">
        <v>46</v>
      </c>
      <c r="E13" t="s">
        <v>47</v>
      </c>
      <c r="F13" t="s">
        <v>52</v>
      </c>
      <c r="G13" t="s">
        <v>53</v>
      </c>
      <c r="H13">
        <v>2.5</v>
      </c>
    </row>
    <row r="14" spans="1:8" x14ac:dyDescent="0.35">
      <c r="A14">
        <v>13</v>
      </c>
      <c r="B14" t="s">
        <v>23</v>
      </c>
      <c r="C14" t="s">
        <v>24</v>
      </c>
      <c r="D14" t="s">
        <v>46</v>
      </c>
      <c r="E14" t="s">
        <v>47</v>
      </c>
      <c r="F14" t="s">
        <v>54</v>
      </c>
      <c r="G14" t="s">
        <v>55</v>
      </c>
      <c r="H14">
        <v>2.5099999999999998</v>
      </c>
    </row>
    <row r="15" spans="1:8" x14ac:dyDescent="0.35">
      <c r="A15">
        <v>14</v>
      </c>
      <c r="B15" t="s">
        <v>23</v>
      </c>
      <c r="C15" t="s">
        <v>24</v>
      </c>
      <c r="D15" t="s">
        <v>46</v>
      </c>
      <c r="E15" t="s">
        <v>47</v>
      </c>
      <c r="F15" t="s">
        <v>56</v>
      </c>
      <c r="G15" t="s">
        <v>57</v>
      </c>
      <c r="H15">
        <v>1.75</v>
      </c>
    </row>
    <row r="16" spans="1:8" x14ac:dyDescent="0.35">
      <c r="A16">
        <v>15</v>
      </c>
      <c r="B16" t="s">
        <v>23</v>
      </c>
      <c r="C16" t="s">
        <v>24</v>
      </c>
      <c r="D16" t="s">
        <v>46</v>
      </c>
      <c r="E16" t="s">
        <v>47</v>
      </c>
      <c r="F16" t="s">
        <v>58</v>
      </c>
      <c r="G16" t="s">
        <v>59</v>
      </c>
      <c r="H16">
        <v>5.86</v>
      </c>
    </row>
    <row r="17" spans="1:8" x14ac:dyDescent="0.35">
      <c r="A17">
        <v>16</v>
      </c>
      <c r="B17" t="s">
        <v>23</v>
      </c>
      <c r="C17" t="s">
        <v>24</v>
      </c>
      <c r="D17" t="s">
        <v>60</v>
      </c>
      <c r="E17" t="s">
        <v>61</v>
      </c>
      <c r="F17" t="s">
        <v>62</v>
      </c>
      <c r="G17" t="s">
        <v>63</v>
      </c>
      <c r="H17">
        <v>1.81</v>
      </c>
    </row>
    <row r="18" spans="1:8" x14ac:dyDescent="0.35">
      <c r="A18">
        <v>17</v>
      </c>
      <c r="B18" t="s">
        <v>23</v>
      </c>
      <c r="C18" t="s">
        <v>24</v>
      </c>
      <c r="D18" t="s">
        <v>60</v>
      </c>
      <c r="E18" t="s">
        <v>61</v>
      </c>
      <c r="F18" t="s">
        <v>64</v>
      </c>
      <c r="G18" t="s">
        <v>65</v>
      </c>
      <c r="H18">
        <v>2.1</v>
      </c>
    </row>
    <row r="19" spans="1:8" x14ac:dyDescent="0.35">
      <c r="A19">
        <v>18</v>
      </c>
      <c r="B19" t="s">
        <v>23</v>
      </c>
      <c r="C19" t="s">
        <v>24</v>
      </c>
      <c r="D19" t="s">
        <v>60</v>
      </c>
      <c r="E19" t="s">
        <v>61</v>
      </c>
      <c r="F19" t="s">
        <v>66</v>
      </c>
      <c r="G19" t="s">
        <v>67</v>
      </c>
      <c r="H19">
        <v>10</v>
      </c>
    </row>
    <row r="20" spans="1:8" x14ac:dyDescent="0.35">
      <c r="A20">
        <v>19</v>
      </c>
      <c r="B20" t="s">
        <v>68</v>
      </c>
      <c r="C20" t="s">
        <v>69</v>
      </c>
      <c r="D20" t="s">
        <v>70</v>
      </c>
      <c r="E20" t="s">
        <v>69</v>
      </c>
      <c r="F20" t="s">
        <v>71</v>
      </c>
      <c r="G20" t="s">
        <v>72</v>
      </c>
      <c r="H20">
        <v>2.42</v>
      </c>
    </row>
    <row r="21" spans="1:8" x14ac:dyDescent="0.35">
      <c r="A21">
        <v>20</v>
      </c>
      <c r="B21" t="s">
        <v>68</v>
      </c>
      <c r="C21" t="s">
        <v>69</v>
      </c>
      <c r="D21" t="s">
        <v>70</v>
      </c>
      <c r="E21" t="s">
        <v>69</v>
      </c>
      <c r="F21" t="s">
        <v>73</v>
      </c>
      <c r="G21" t="s">
        <v>74</v>
      </c>
      <c r="H21">
        <v>2.87</v>
      </c>
    </row>
    <row r="22" spans="1:8" x14ac:dyDescent="0.35">
      <c r="A22">
        <v>21</v>
      </c>
      <c r="B22" t="s">
        <v>68</v>
      </c>
      <c r="C22" t="s">
        <v>69</v>
      </c>
      <c r="D22" t="s">
        <v>75</v>
      </c>
      <c r="E22" t="s">
        <v>76</v>
      </c>
      <c r="F22" t="s">
        <v>77</v>
      </c>
      <c r="G22" t="s">
        <v>78</v>
      </c>
      <c r="H22">
        <v>2.5</v>
      </c>
    </row>
    <row r="23" spans="1:8" x14ac:dyDescent="0.35">
      <c r="A23">
        <v>22</v>
      </c>
      <c r="B23" t="s">
        <v>79</v>
      </c>
      <c r="C23" t="s">
        <v>80</v>
      </c>
      <c r="D23" t="s">
        <v>81</v>
      </c>
      <c r="E23" t="s">
        <v>80</v>
      </c>
      <c r="F23" t="s">
        <v>82</v>
      </c>
      <c r="G23" t="s">
        <v>83</v>
      </c>
      <c r="H23">
        <v>2.2999999999999998</v>
      </c>
    </row>
    <row r="24" spans="1:8" x14ac:dyDescent="0.35">
      <c r="A24">
        <v>23</v>
      </c>
      <c r="B24" t="s">
        <v>79</v>
      </c>
      <c r="C24" t="s">
        <v>80</v>
      </c>
      <c r="D24" t="s">
        <v>81</v>
      </c>
      <c r="E24" t="s">
        <v>80</v>
      </c>
      <c r="F24" t="s">
        <v>84</v>
      </c>
      <c r="G24" t="s">
        <v>85</v>
      </c>
      <c r="H24">
        <v>1.77</v>
      </c>
    </row>
    <row r="25" spans="1:8" x14ac:dyDescent="0.35">
      <c r="A25">
        <v>24</v>
      </c>
      <c r="B25" t="s">
        <v>79</v>
      </c>
      <c r="C25" t="s">
        <v>80</v>
      </c>
      <c r="D25" t="s">
        <v>86</v>
      </c>
      <c r="E25" t="s">
        <v>87</v>
      </c>
      <c r="F25" t="s">
        <v>88</v>
      </c>
      <c r="G25" t="s">
        <v>89</v>
      </c>
      <c r="H25">
        <v>6</v>
      </c>
    </row>
    <row r="26" spans="1:8" x14ac:dyDescent="0.35">
      <c r="A26">
        <v>25</v>
      </c>
      <c r="B26" t="s">
        <v>79</v>
      </c>
      <c r="C26" t="s">
        <v>80</v>
      </c>
      <c r="D26" t="s">
        <v>86</v>
      </c>
      <c r="E26" t="s">
        <v>87</v>
      </c>
      <c r="F26" t="s">
        <v>90</v>
      </c>
      <c r="G26" t="s">
        <v>91</v>
      </c>
      <c r="H26">
        <v>2.33</v>
      </c>
    </row>
    <row r="27" spans="1:8" x14ac:dyDescent="0.35">
      <c r="A27">
        <v>26</v>
      </c>
      <c r="B27" t="s">
        <v>92</v>
      </c>
      <c r="C27" t="s">
        <v>93</v>
      </c>
      <c r="D27" t="s">
        <v>94</v>
      </c>
      <c r="E27" t="s">
        <v>93</v>
      </c>
      <c r="F27" t="s">
        <v>95</v>
      </c>
      <c r="G27" t="s">
        <v>96</v>
      </c>
      <c r="H27">
        <v>2.5299999999999998</v>
      </c>
    </row>
    <row r="28" spans="1:8" x14ac:dyDescent="0.35">
      <c r="A28">
        <v>27</v>
      </c>
      <c r="B28" t="s">
        <v>92</v>
      </c>
      <c r="C28" t="s">
        <v>93</v>
      </c>
      <c r="D28" t="s">
        <v>94</v>
      </c>
      <c r="E28" t="s">
        <v>93</v>
      </c>
      <c r="F28" t="s">
        <v>97</v>
      </c>
      <c r="G28" t="s">
        <v>98</v>
      </c>
      <c r="H28">
        <v>2.0699999999999998</v>
      </c>
    </row>
    <row r="29" spans="1:8" x14ac:dyDescent="0.35">
      <c r="A29">
        <v>28</v>
      </c>
      <c r="B29" t="s">
        <v>99</v>
      </c>
      <c r="C29" t="s">
        <v>100</v>
      </c>
      <c r="D29" t="s">
        <v>101</v>
      </c>
      <c r="E29" t="s">
        <v>100</v>
      </c>
      <c r="F29" t="s">
        <v>102</v>
      </c>
      <c r="G29" t="s">
        <v>103</v>
      </c>
      <c r="H29">
        <v>1.1599999999999999</v>
      </c>
    </row>
    <row r="30" spans="1:8" x14ac:dyDescent="0.35">
      <c r="A30">
        <v>29</v>
      </c>
      <c r="B30" t="s">
        <v>99</v>
      </c>
      <c r="C30" t="s">
        <v>100</v>
      </c>
      <c r="D30" t="s">
        <v>104</v>
      </c>
      <c r="E30" t="s">
        <v>105</v>
      </c>
      <c r="F30" t="s">
        <v>106</v>
      </c>
      <c r="G30" t="s">
        <v>107</v>
      </c>
      <c r="H30">
        <v>6</v>
      </c>
    </row>
    <row r="31" spans="1:8" x14ac:dyDescent="0.35">
      <c r="A31">
        <v>30</v>
      </c>
      <c r="B31" t="s">
        <v>99</v>
      </c>
      <c r="C31" t="s">
        <v>100</v>
      </c>
      <c r="D31" t="s">
        <v>108</v>
      </c>
      <c r="E31" t="s">
        <v>109</v>
      </c>
      <c r="F31" t="s">
        <v>110</v>
      </c>
      <c r="G31" t="s">
        <v>111</v>
      </c>
      <c r="H31">
        <v>5</v>
      </c>
    </row>
    <row r="32" spans="1:8" x14ac:dyDescent="0.35">
      <c r="A32">
        <v>31</v>
      </c>
      <c r="B32" t="s">
        <v>112</v>
      </c>
      <c r="C32" t="s">
        <v>113</v>
      </c>
      <c r="D32" t="s">
        <v>114</v>
      </c>
      <c r="E32" t="s">
        <v>113</v>
      </c>
      <c r="F32" t="s">
        <v>115</v>
      </c>
      <c r="G32" t="s">
        <v>116</v>
      </c>
      <c r="H32">
        <v>2.2599999999999998</v>
      </c>
    </row>
    <row r="33" spans="1:8" x14ac:dyDescent="0.35">
      <c r="A33">
        <v>32</v>
      </c>
      <c r="B33" t="s">
        <v>112</v>
      </c>
      <c r="C33" t="s">
        <v>113</v>
      </c>
      <c r="D33" t="s">
        <v>117</v>
      </c>
      <c r="E33" t="s">
        <v>118</v>
      </c>
      <c r="F33" t="s">
        <v>119</v>
      </c>
      <c r="G33" t="s">
        <v>120</v>
      </c>
      <c r="H33">
        <v>3.93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tabSelected="1" workbookViewId="0"/>
  </sheetViews>
  <sheetFormatPr defaultRowHeight="14.5" x14ac:dyDescent="0.35"/>
  <cols>
    <col min="1" max="1" width="2.6328125" bestFit="1" customWidth="1"/>
    <col min="2" max="2" width="16.36328125" bestFit="1" customWidth="1"/>
    <col min="3" max="3" width="24.453125" bestFit="1" customWidth="1"/>
    <col min="4" max="4" width="4.81640625" bestFit="1" customWidth="1"/>
    <col min="5" max="5" width="16.26953125" bestFit="1" customWidth="1"/>
    <col min="6" max="6" width="22.08984375" bestFit="1" customWidth="1"/>
    <col min="9" max="9" width="7.81640625" bestFit="1" customWidth="1"/>
    <col min="10" max="10" width="202" bestFit="1" customWidth="1"/>
    <col min="11" max="11" width="5.81640625" bestFit="1" customWidth="1"/>
  </cols>
  <sheetData>
    <row r="1" spans="1:11" x14ac:dyDescent="0.35">
      <c r="A1" t="s">
        <v>0</v>
      </c>
      <c r="B1" t="s">
        <v>121</v>
      </c>
      <c r="C1" t="s">
        <v>1</v>
      </c>
      <c r="D1" t="s">
        <v>122</v>
      </c>
      <c r="E1" t="s">
        <v>2</v>
      </c>
      <c r="F1" t="s">
        <v>123</v>
      </c>
      <c r="G1" t="s">
        <v>124</v>
      </c>
      <c r="H1" t="s">
        <v>125</v>
      </c>
      <c r="I1" t="s">
        <v>126</v>
      </c>
      <c r="J1" t="s">
        <v>127</v>
      </c>
      <c r="K1" t="s">
        <v>22</v>
      </c>
    </row>
    <row r="2" spans="1:11" x14ac:dyDescent="0.35">
      <c r="A2">
        <v>1</v>
      </c>
      <c r="B2" t="s">
        <v>128</v>
      </c>
      <c r="C2" t="s">
        <v>129</v>
      </c>
      <c r="D2" t="s">
        <v>130</v>
      </c>
      <c r="E2" t="s">
        <v>131</v>
      </c>
      <c r="F2" t="s">
        <v>132</v>
      </c>
      <c r="G2" t="s">
        <v>133</v>
      </c>
      <c r="H2" t="s">
        <v>134</v>
      </c>
      <c r="I2" t="s">
        <v>135</v>
      </c>
      <c r="J2" t="s">
        <v>414</v>
      </c>
      <c r="K2">
        <v>2.468</v>
      </c>
    </row>
    <row r="3" spans="1:11" x14ac:dyDescent="0.35">
      <c r="A3">
        <v>2</v>
      </c>
      <c r="B3" t="s">
        <v>136</v>
      </c>
      <c r="C3" t="s">
        <v>137</v>
      </c>
      <c r="D3" t="s">
        <v>138</v>
      </c>
      <c r="E3" t="s">
        <v>131</v>
      </c>
      <c r="F3" t="s">
        <v>132</v>
      </c>
      <c r="G3" t="s">
        <v>139</v>
      </c>
      <c r="H3" t="s">
        <v>140</v>
      </c>
      <c r="I3" t="s">
        <v>141</v>
      </c>
      <c r="J3" t="s">
        <v>415</v>
      </c>
      <c r="K3">
        <v>2.5</v>
      </c>
    </row>
    <row r="4" spans="1:11" x14ac:dyDescent="0.35">
      <c r="A4">
        <v>3</v>
      </c>
      <c r="B4" t="s">
        <v>142</v>
      </c>
      <c r="C4" t="s">
        <v>143</v>
      </c>
      <c r="D4" t="s">
        <v>144</v>
      </c>
      <c r="E4" t="s">
        <v>145</v>
      </c>
      <c r="F4" t="s">
        <v>146</v>
      </c>
      <c r="G4" t="s">
        <v>147</v>
      </c>
      <c r="H4" t="s">
        <v>148</v>
      </c>
      <c r="I4" t="s">
        <v>149</v>
      </c>
      <c r="J4" t="s">
        <v>416</v>
      </c>
      <c r="K4">
        <v>2.75</v>
      </c>
    </row>
    <row r="5" spans="1:11" x14ac:dyDescent="0.35">
      <c r="A5">
        <v>4</v>
      </c>
      <c r="B5" t="s">
        <v>150</v>
      </c>
      <c r="C5" t="s">
        <v>151</v>
      </c>
      <c r="D5" t="s">
        <v>144</v>
      </c>
      <c r="E5" t="s">
        <v>152</v>
      </c>
      <c r="F5" t="s">
        <v>153</v>
      </c>
      <c r="G5" t="s">
        <v>154</v>
      </c>
      <c r="H5" t="s">
        <v>155</v>
      </c>
      <c r="I5" t="s">
        <v>156</v>
      </c>
      <c r="J5" t="s">
        <v>417</v>
      </c>
      <c r="K5">
        <v>2.3050000000000002</v>
      </c>
    </row>
    <row r="6" spans="1:11" x14ac:dyDescent="0.35">
      <c r="A6">
        <v>5</v>
      </c>
      <c r="B6" t="s">
        <v>157</v>
      </c>
      <c r="C6" t="s">
        <v>158</v>
      </c>
      <c r="D6" t="s">
        <v>144</v>
      </c>
      <c r="E6" t="s">
        <v>152</v>
      </c>
      <c r="F6" t="s">
        <v>159</v>
      </c>
      <c r="G6" t="s">
        <v>160</v>
      </c>
      <c r="H6" t="s">
        <v>140</v>
      </c>
      <c r="I6" t="s">
        <v>141</v>
      </c>
      <c r="J6" t="s">
        <v>418</v>
      </c>
      <c r="K6">
        <v>2.7629999999999999</v>
      </c>
    </row>
    <row r="7" spans="1:11" x14ac:dyDescent="0.35">
      <c r="A7">
        <v>6</v>
      </c>
      <c r="B7" t="s">
        <v>161</v>
      </c>
      <c r="C7" t="s">
        <v>162</v>
      </c>
      <c r="D7" t="s">
        <v>144</v>
      </c>
      <c r="E7" t="s">
        <v>163</v>
      </c>
      <c r="F7" t="s">
        <v>164</v>
      </c>
      <c r="G7" t="s">
        <v>165</v>
      </c>
      <c r="H7" t="s">
        <v>160</v>
      </c>
      <c r="I7" t="s">
        <v>156</v>
      </c>
      <c r="J7" t="s">
        <v>166</v>
      </c>
      <c r="K7">
        <v>3.5</v>
      </c>
    </row>
    <row r="8" spans="1:11" x14ac:dyDescent="0.35">
      <c r="A8">
        <v>7</v>
      </c>
      <c r="B8" t="s">
        <v>167</v>
      </c>
      <c r="C8" t="s">
        <v>168</v>
      </c>
      <c r="D8" t="s">
        <v>169</v>
      </c>
      <c r="E8" t="s">
        <v>163</v>
      </c>
      <c r="F8" t="s">
        <v>170</v>
      </c>
      <c r="G8" t="s">
        <v>171</v>
      </c>
      <c r="H8" t="s">
        <v>172</v>
      </c>
      <c r="I8" t="s">
        <v>156</v>
      </c>
      <c r="J8" t="s">
        <v>419</v>
      </c>
      <c r="K8">
        <v>0.75</v>
      </c>
    </row>
    <row r="9" spans="1:11" x14ac:dyDescent="0.35">
      <c r="A9">
        <v>8</v>
      </c>
      <c r="B9" t="s">
        <v>173</v>
      </c>
      <c r="C9" t="s">
        <v>174</v>
      </c>
      <c r="D9" t="s">
        <v>175</v>
      </c>
      <c r="E9" t="s">
        <v>176</v>
      </c>
      <c r="F9" t="s">
        <v>177</v>
      </c>
      <c r="G9" t="s">
        <v>178</v>
      </c>
      <c r="H9" t="s">
        <v>179</v>
      </c>
      <c r="I9" t="s">
        <v>149</v>
      </c>
      <c r="J9" t="s">
        <v>180</v>
      </c>
      <c r="K9">
        <v>2.75</v>
      </c>
    </row>
    <row r="10" spans="1:11" x14ac:dyDescent="0.35">
      <c r="A10">
        <v>9</v>
      </c>
      <c r="B10" t="s">
        <v>181</v>
      </c>
      <c r="C10" t="s">
        <v>182</v>
      </c>
      <c r="D10" t="s">
        <v>183</v>
      </c>
      <c r="E10" t="s">
        <v>152</v>
      </c>
      <c r="F10" t="s">
        <v>184</v>
      </c>
      <c r="G10" t="s">
        <v>185</v>
      </c>
      <c r="H10" t="s">
        <v>172</v>
      </c>
      <c r="I10" t="s">
        <v>149</v>
      </c>
      <c r="J10" t="s">
        <v>186</v>
      </c>
      <c r="K10">
        <v>3.7469999999999999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
  <sheetViews>
    <sheetView workbookViewId="0"/>
  </sheetViews>
  <sheetFormatPr defaultRowHeight="14.5" x14ac:dyDescent="0.35"/>
  <cols>
    <col min="1" max="1" width="2.6328125" bestFit="1" customWidth="1"/>
    <col min="8" max="8" width="5" bestFit="1" customWidth="1"/>
  </cols>
  <sheetData>
    <row r="1" spans="1:8" x14ac:dyDescent="0.35">
      <c r="A1" t="s">
        <v>0</v>
      </c>
      <c r="B1" t="s">
        <v>121</v>
      </c>
      <c r="C1" t="s">
        <v>1</v>
      </c>
      <c r="D1" t="s">
        <v>187</v>
      </c>
      <c r="E1" t="s">
        <v>126</v>
      </c>
      <c r="F1" t="s">
        <v>188</v>
      </c>
      <c r="G1" t="s">
        <v>189</v>
      </c>
      <c r="H1" t="s">
        <v>22</v>
      </c>
    </row>
    <row r="2" spans="1:8" x14ac:dyDescent="0.35">
      <c r="A2">
        <v>1</v>
      </c>
      <c r="B2" t="s">
        <v>190</v>
      </c>
      <c r="C2" t="s">
        <v>191</v>
      </c>
      <c r="D2" t="s">
        <v>192</v>
      </c>
      <c r="E2" t="s">
        <v>193</v>
      </c>
      <c r="F2" t="s">
        <v>194</v>
      </c>
      <c r="G2" t="s">
        <v>195</v>
      </c>
      <c r="H2">
        <v>2.5</v>
      </c>
    </row>
    <row r="3" spans="1:8" x14ac:dyDescent="0.35">
      <c r="A3">
        <v>2</v>
      </c>
      <c r="B3" t="s">
        <v>196</v>
      </c>
      <c r="C3" t="s">
        <v>197</v>
      </c>
      <c r="D3" t="s">
        <v>198</v>
      </c>
      <c r="E3" t="s">
        <v>199</v>
      </c>
      <c r="F3" t="s">
        <v>200</v>
      </c>
      <c r="G3" t="s">
        <v>201</v>
      </c>
      <c r="H3">
        <v>3</v>
      </c>
    </row>
    <row r="4" spans="1:8" x14ac:dyDescent="0.35">
      <c r="A4">
        <v>3</v>
      </c>
      <c r="B4" t="s">
        <v>202</v>
      </c>
      <c r="C4" t="s">
        <v>203</v>
      </c>
      <c r="D4" t="s">
        <v>204</v>
      </c>
      <c r="E4" t="s">
        <v>205</v>
      </c>
      <c r="F4" t="s">
        <v>206</v>
      </c>
      <c r="G4" t="s">
        <v>207</v>
      </c>
      <c r="H4">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topLeftCell="E1" workbookViewId="0">
      <selection activeCell="G8" sqref="G8"/>
    </sheetView>
  </sheetViews>
  <sheetFormatPr defaultRowHeight="14.5" x14ac:dyDescent="0.35"/>
  <cols>
    <col min="1" max="1" width="2.6328125" bestFit="1" customWidth="1"/>
    <col min="2" max="2" width="26.453125" customWidth="1"/>
    <col min="3" max="3" width="20.7265625" customWidth="1"/>
    <col min="4" max="4" width="11.08984375" customWidth="1"/>
    <col min="6" max="6" width="16.7265625" bestFit="1" customWidth="1"/>
    <col min="7" max="7" width="136.54296875" bestFit="1" customWidth="1"/>
  </cols>
  <sheetData>
    <row r="1" spans="1:8" x14ac:dyDescent="0.35">
      <c r="A1" t="s">
        <v>0</v>
      </c>
      <c r="B1" t="s">
        <v>188</v>
      </c>
      <c r="C1" t="s">
        <v>208</v>
      </c>
      <c r="D1" t="s">
        <v>209</v>
      </c>
      <c r="E1" t="s">
        <v>210</v>
      </c>
      <c r="F1" t="s">
        <v>211</v>
      </c>
      <c r="G1" t="s">
        <v>212</v>
      </c>
      <c r="H1" t="s">
        <v>22</v>
      </c>
    </row>
    <row r="2" spans="1:8" x14ac:dyDescent="0.35">
      <c r="A2">
        <v>1</v>
      </c>
      <c r="B2" t="s">
        <v>213</v>
      </c>
      <c r="C2" t="s">
        <v>214</v>
      </c>
      <c r="D2" t="s">
        <v>215</v>
      </c>
      <c r="E2" t="s">
        <v>216</v>
      </c>
      <c r="F2" t="s">
        <v>217</v>
      </c>
      <c r="G2" t="s">
        <v>218</v>
      </c>
      <c r="H2" t="s">
        <v>219</v>
      </c>
    </row>
    <row r="3" spans="1:8" x14ac:dyDescent="0.35">
      <c r="A3">
        <v>2</v>
      </c>
      <c r="B3" t="s">
        <v>229</v>
      </c>
      <c r="C3" t="s">
        <v>230</v>
      </c>
      <c r="D3" t="s">
        <v>231</v>
      </c>
      <c r="E3" t="s">
        <v>232</v>
      </c>
      <c r="F3" t="s">
        <v>223</v>
      </c>
      <c r="G3" t="s">
        <v>411</v>
      </c>
      <c r="H3" t="s">
        <v>224</v>
      </c>
    </row>
    <row r="4" spans="1:8" x14ac:dyDescent="0.35">
      <c r="A4">
        <v>3</v>
      </c>
      <c r="B4" t="s">
        <v>220</v>
      </c>
      <c r="C4" t="s">
        <v>221</v>
      </c>
      <c r="D4" t="s">
        <v>222</v>
      </c>
      <c r="E4" t="s">
        <v>216</v>
      </c>
      <c r="F4" t="s">
        <v>228</v>
      </c>
      <c r="G4" t="s">
        <v>412</v>
      </c>
      <c r="H4" t="s">
        <v>224</v>
      </c>
    </row>
    <row r="5" spans="1:8" x14ac:dyDescent="0.35">
      <c r="A5">
        <v>4</v>
      </c>
      <c r="B5" t="s">
        <v>225</v>
      </c>
      <c r="C5" t="s">
        <v>226</v>
      </c>
      <c r="D5" t="s">
        <v>227</v>
      </c>
      <c r="E5" t="s">
        <v>216</v>
      </c>
      <c r="F5" t="s">
        <v>233</v>
      </c>
      <c r="G5" t="s">
        <v>228</v>
      </c>
      <c r="H5" t="s">
        <v>224</v>
      </c>
    </row>
    <row r="6" spans="1:8" x14ac:dyDescent="0.35">
      <c r="A6">
        <v>5</v>
      </c>
      <c r="B6" t="s">
        <v>234</v>
      </c>
      <c r="C6" t="s">
        <v>235</v>
      </c>
      <c r="E6" t="s">
        <v>216</v>
      </c>
      <c r="F6" t="s">
        <v>236</v>
      </c>
      <c r="G6" t="s">
        <v>237</v>
      </c>
      <c r="H6" t="s">
        <v>219</v>
      </c>
    </row>
    <row r="7" spans="1:8" x14ac:dyDescent="0.35">
      <c r="A7">
        <v>6</v>
      </c>
      <c r="B7" t="s">
        <v>408</v>
      </c>
      <c r="C7" t="s">
        <v>409</v>
      </c>
      <c r="E7" t="s">
        <v>216</v>
      </c>
      <c r="F7" t="s">
        <v>241</v>
      </c>
      <c r="G7" t="s">
        <v>241</v>
      </c>
      <c r="H7" t="s">
        <v>219</v>
      </c>
    </row>
    <row r="8" spans="1:8" x14ac:dyDescent="0.35">
      <c r="A8">
        <v>7</v>
      </c>
      <c r="B8" t="s">
        <v>238</v>
      </c>
      <c r="C8" t="s">
        <v>239</v>
      </c>
      <c r="D8" t="s">
        <v>240</v>
      </c>
      <c r="E8" t="s">
        <v>232</v>
      </c>
      <c r="F8" t="s">
        <v>410</v>
      </c>
      <c r="G8" t="s">
        <v>413</v>
      </c>
      <c r="H8" t="s">
        <v>224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2"/>
  <sheetViews>
    <sheetView topLeftCell="E1" workbookViewId="0">
      <selection activeCell="I13" sqref="I13"/>
    </sheetView>
  </sheetViews>
  <sheetFormatPr defaultRowHeight="14.5" x14ac:dyDescent="0.35"/>
  <cols>
    <col min="1" max="1" width="2.81640625" bestFit="1" customWidth="1"/>
    <col min="2" max="2" width="40.6328125" bestFit="1" customWidth="1"/>
    <col min="3" max="3" width="34.1796875" bestFit="1" customWidth="1"/>
    <col min="4" max="4" width="67.26953125" bestFit="1" customWidth="1"/>
    <col min="5" max="5" width="15.26953125" bestFit="1" customWidth="1"/>
    <col min="6" max="6" width="10.6328125" bestFit="1" customWidth="1"/>
    <col min="7" max="7" width="45.453125" bestFit="1" customWidth="1"/>
    <col min="8" max="8" width="27.54296875" bestFit="1" customWidth="1"/>
  </cols>
  <sheetData>
    <row r="1" spans="1:9" x14ac:dyDescent="0.35">
      <c r="A1" t="s">
        <v>0</v>
      </c>
      <c r="B1" t="s">
        <v>188</v>
      </c>
      <c r="C1" t="s">
        <v>242</v>
      </c>
      <c r="D1" t="s">
        <v>243</v>
      </c>
      <c r="E1" t="s">
        <v>211</v>
      </c>
      <c r="F1" t="s">
        <v>244</v>
      </c>
      <c r="G1" t="s">
        <v>245</v>
      </c>
      <c r="H1" t="s">
        <v>246</v>
      </c>
      <c r="I1" t="s">
        <v>22</v>
      </c>
    </row>
    <row r="2" spans="1:9" x14ac:dyDescent="0.35">
      <c r="A2">
        <v>1</v>
      </c>
      <c r="B2" t="s">
        <v>247</v>
      </c>
      <c r="C2" t="s">
        <v>248</v>
      </c>
      <c r="E2" t="str">
        <f t="shared" ref="E2" si="0">"thumbs/" &amp; B2 &amp; ".webp"</f>
        <v>thumbs/Master of Arts - Space Entrepreneurship.webp</v>
      </c>
      <c r="F2" t="str">
        <f t="shared" ref="F2" si="1">"pdfs/" &amp; B2 &amp; ".pdf"</f>
        <v>pdfs/Master of Arts - Space Entrepreneurship.pdf</v>
      </c>
      <c r="G2" t="s">
        <v>249</v>
      </c>
      <c r="H2" t="s">
        <v>248</v>
      </c>
      <c r="I2" t="s">
        <v>219</v>
      </c>
    </row>
    <row r="3" spans="1:9" x14ac:dyDescent="0.35">
      <c r="A3">
        <v>2</v>
      </c>
      <c r="B3" t="s">
        <v>250</v>
      </c>
      <c r="C3" t="s">
        <v>248</v>
      </c>
      <c r="E3" t="str">
        <f t="shared" ref="E3:E52" si="2">"thumbs/" &amp; B3 &amp; ".webp"</f>
        <v>thumbs/Acceptance Letter - EIIS.webp</v>
      </c>
      <c r="F3" t="str">
        <f t="shared" ref="F3:F52" si="3">"pdfs/" &amp; B3 &amp; ".pdf"</f>
        <v>pdfs/Acceptance Letter - EIIS.pdf</v>
      </c>
      <c r="G3" t="s">
        <v>249</v>
      </c>
      <c r="H3" t="s">
        <v>248</v>
      </c>
    </row>
    <row r="4" spans="1:9" x14ac:dyDescent="0.35">
      <c r="A4">
        <v>3</v>
      </c>
      <c r="B4" t="s">
        <v>251</v>
      </c>
      <c r="C4" t="s">
        <v>252</v>
      </c>
      <c r="D4" t="s">
        <v>253</v>
      </c>
      <c r="E4" t="str">
        <f t="shared" si="2"/>
        <v>thumbs/Digitalisation in Aeronautics.webp</v>
      </c>
      <c r="F4" t="str">
        <f t="shared" si="3"/>
        <v>pdfs/Digitalisation in Aeronautics.pdf</v>
      </c>
      <c r="G4" t="s">
        <v>254</v>
      </c>
      <c r="H4" t="s">
        <v>255</v>
      </c>
      <c r="I4" t="s">
        <v>219</v>
      </c>
    </row>
    <row r="5" spans="1:9" x14ac:dyDescent="0.35">
      <c r="A5">
        <v>4</v>
      </c>
      <c r="B5" t="s">
        <v>256</v>
      </c>
      <c r="C5" t="s">
        <v>252</v>
      </c>
      <c r="D5" t="s">
        <v>257</v>
      </c>
      <c r="E5" t="str">
        <f t="shared" si="2"/>
        <v>thumbs/Digitalisation in Space Research.webp</v>
      </c>
      <c r="F5" t="str">
        <f t="shared" si="3"/>
        <v>pdfs/Digitalisation in Space Research.pdf</v>
      </c>
      <c r="G5" t="s">
        <v>254</v>
      </c>
      <c r="H5" t="s">
        <v>255</v>
      </c>
      <c r="I5" t="s">
        <v>219</v>
      </c>
    </row>
    <row r="6" spans="1:9" x14ac:dyDescent="0.35">
      <c r="A6">
        <v>5</v>
      </c>
      <c r="B6" t="s">
        <v>258</v>
      </c>
      <c r="C6" t="s">
        <v>252</v>
      </c>
      <c r="D6" t="s">
        <v>259</v>
      </c>
      <c r="E6" t="str">
        <f t="shared" si="2"/>
        <v>thumbs/Digitalisation in the Aerospace Industry.webp</v>
      </c>
      <c r="F6" t="str">
        <f t="shared" si="3"/>
        <v>pdfs/Digitalisation in the Aerospace Industry.pdf</v>
      </c>
      <c r="G6" t="s">
        <v>254</v>
      </c>
      <c r="H6" t="s">
        <v>255</v>
      </c>
      <c r="I6" t="s">
        <v>219</v>
      </c>
    </row>
    <row r="7" spans="1:9" x14ac:dyDescent="0.35">
      <c r="A7">
        <v>6</v>
      </c>
      <c r="B7" t="s">
        <v>260</v>
      </c>
      <c r="C7" t="s">
        <v>261</v>
      </c>
      <c r="D7" t="s">
        <v>262</v>
      </c>
      <c r="E7" t="str">
        <f t="shared" si="2"/>
        <v>thumbs/Aerospace Materials.webp</v>
      </c>
      <c r="F7" t="str">
        <f t="shared" si="3"/>
        <v>pdfs/Aerospace Materials.pdf</v>
      </c>
      <c r="G7" t="s">
        <v>254</v>
      </c>
      <c r="I7" t="s">
        <v>219</v>
      </c>
    </row>
    <row r="8" spans="1:9" x14ac:dyDescent="0.35">
      <c r="A8">
        <v>7</v>
      </c>
      <c r="B8" t="s">
        <v>263</v>
      </c>
      <c r="C8" t="s">
        <v>264</v>
      </c>
      <c r="D8" t="s">
        <v>265</v>
      </c>
      <c r="E8" t="str">
        <f t="shared" si="2"/>
        <v>thumbs/Robotics - Aerial Robotics.webp</v>
      </c>
      <c r="F8" t="str">
        <f t="shared" si="3"/>
        <v>pdfs/Robotics - Aerial Robotics.pdf</v>
      </c>
      <c r="G8" t="s">
        <v>254</v>
      </c>
      <c r="I8" t="s">
        <v>219</v>
      </c>
    </row>
    <row r="9" spans="1:9" x14ac:dyDescent="0.35">
      <c r="A9">
        <v>8</v>
      </c>
      <c r="B9" t="s">
        <v>365</v>
      </c>
      <c r="C9" t="s">
        <v>266</v>
      </c>
      <c r="E9" t="str">
        <f t="shared" si="2"/>
        <v>thumbs/Best Research Project.webp</v>
      </c>
      <c r="F9" t="str">
        <f>"pdfs/" &amp; B9 &amp; ".pdf"</f>
        <v>pdfs/Best Research Project.pdf</v>
      </c>
      <c r="I9" t="s">
        <v>224</v>
      </c>
    </row>
    <row r="10" spans="1:9" x14ac:dyDescent="0.35">
      <c r="A10">
        <v>9</v>
      </c>
      <c r="B10" t="s">
        <v>267</v>
      </c>
      <c r="C10" t="s">
        <v>268</v>
      </c>
      <c r="E10" t="str">
        <f t="shared" si="2"/>
        <v>thumbs/Best Poster Presentation.webp</v>
      </c>
      <c r="F10" t="str">
        <f t="shared" si="3"/>
        <v>pdfs/Best Poster Presentation.pdf</v>
      </c>
      <c r="G10" t="s">
        <v>254</v>
      </c>
      <c r="I10" t="s">
        <v>224</v>
      </c>
    </row>
    <row r="11" spans="1:9" x14ac:dyDescent="0.35">
      <c r="A11">
        <v>10</v>
      </c>
      <c r="B11" t="s">
        <v>269</v>
      </c>
      <c r="C11" t="s">
        <v>268</v>
      </c>
      <c r="E11" t="str">
        <f t="shared" si="2"/>
        <v>thumbs/Paper Presentation at IRC.webp</v>
      </c>
      <c r="F11" t="str">
        <f t="shared" si="3"/>
        <v>pdfs/Paper Presentation at IRC.pdf</v>
      </c>
      <c r="G11" t="s">
        <v>254</v>
      </c>
      <c r="I11" t="s">
        <v>219</v>
      </c>
    </row>
    <row r="12" spans="1:9" x14ac:dyDescent="0.35">
      <c r="A12">
        <v>11</v>
      </c>
      <c r="B12" t="s">
        <v>270</v>
      </c>
      <c r="C12" t="s">
        <v>266</v>
      </c>
      <c r="E12" t="str">
        <f t="shared" si="2"/>
        <v>thumbs/BSc. (Hons) Aeronautical Engineering.webp</v>
      </c>
      <c r="F12" t="str">
        <f t="shared" si="3"/>
        <v>pdfs/BSc. (Hons) Aeronautical Engineering.pdf</v>
      </c>
      <c r="G12" t="s">
        <v>254</v>
      </c>
      <c r="H12" t="s">
        <v>271</v>
      </c>
      <c r="I12" t="s">
        <v>224</v>
      </c>
    </row>
    <row r="13" spans="1:9" x14ac:dyDescent="0.35">
      <c r="A13">
        <v>12</v>
      </c>
      <c r="B13" t="s">
        <v>272</v>
      </c>
      <c r="C13" t="s">
        <v>157</v>
      </c>
      <c r="E13" t="str">
        <f t="shared" si="2"/>
        <v>thumbs/Chairperson - SEDS SL.webp</v>
      </c>
      <c r="F13" t="str">
        <f t="shared" si="3"/>
        <v>pdfs/Chairperson - SEDS SL.pdf</v>
      </c>
      <c r="G13" t="s">
        <v>254</v>
      </c>
      <c r="H13" t="s">
        <v>271</v>
      </c>
      <c r="I13" t="s">
        <v>224</v>
      </c>
    </row>
    <row r="14" spans="1:9" x14ac:dyDescent="0.35">
      <c r="A14">
        <v>13</v>
      </c>
      <c r="B14" t="s">
        <v>273</v>
      </c>
      <c r="C14" t="s">
        <v>266</v>
      </c>
      <c r="E14" t="str">
        <f t="shared" si="2"/>
        <v>thumbs/President - SEDS KDU.webp</v>
      </c>
      <c r="F14" t="str">
        <f t="shared" si="3"/>
        <v>pdfs/President - SEDS KDU.pdf</v>
      </c>
      <c r="G14" t="s">
        <v>254</v>
      </c>
      <c r="I14" t="s">
        <v>224</v>
      </c>
    </row>
    <row r="15" spans="1:9" x14ac:dyDescent="0.35">
      <c r="A15">
        <v>14</v>
      </c>
      <c r="B15" t="s">
        <v>274</v>
      </c>
      <c r="C15" t="s">
        <v>161</v>
      </c>
      <c r="E15" t="str">
        <f t="shared" si="2"/>
        <v>thumbs/Service Letter.webp</v>
      </c>
      <c r="F15" t="str">
        <f t="shared" si="3"/>
        <v>pdfs/Service Letter.pdf</v>
      </c>
      <c r="G15" t="s">
        <v>254</v>
      </c>
      <c r="I15" t="s">
        <v>224</v>
      </c>
    </row>
    <row r="16" spans="1:9" x14ac:dyDescent="0.35">
      <c r="A16">
        <v>15</v>
      </c>
      <c r="B16" t="s">
        <v>275</v>
      </c>
      <c r="C16" t="s">
        <v>276</v>
      </c>
      <c r="D16" t="s">
        <v>277</v>
      </c>
      <c r="E16" t="str">
        <f t="shared" si="2"/>
        <v>thumbs/Semi-Finalists - IEEE INSL 2021.webp</v>
      </c>
      <c r="F16" t="str">
        <f t="shared" si="3"/>
        <v>pdfs/Semi-Finalists - IEEE INSL 2021.pdf</v>
      </c>
      <c r="G16" t="s">
        <v>278</v>
      </c>
      <c r="I16" t="s">
        <v>219</v>
      </c>
    </row>
    <row r="17" spans="1:9" x14ac:dyDescent="0.35">
      <c r="A17">
        <v>16</v>
      </c>
      <c r="B17" t="s">
        <v>279</v>
      </c>
      <c r="C17" t="s">
        <v>266</v>
      </c>
      <c r="E17" t="str">
        <f t="shared" si="2"/>
        <v>thumbs/Inter-Faculty Cricket (2022).webp</v>
      </c>
      <c r="F17" t="str">
        <f t="shared" si="3"/>
        <v>pdfs/Inter-Faculty Cricket (2022).pdf</v>
      </c>
      <c r="G17" t="s">
        <v>280</v>
      </c>
      <c r="I17" t="s">
        <v>224</v>
      </c>
    </row>
    <row r="18" spans="1:9" x14ac:dyDescent="0.35">
      <c r="A18">
        <v>17</v>
      </c>
      <c r="B18" t="s">
        <v>281</v>
      </c>
      <c r="C18" t="s">
        <v>266</v>
      </c>
      <c r="E18" t="str">
        <f t="shared" si="2"/>
        <v>thumbs/Inter-Faculty Cricket (2023).webp</v>
      </c>
      <c r="F18" t="str">
        <f t="shared" si="3"/>
        <v>pdfs/Inter-Faculty Cricket (2023).pdf</v>
      </c>
      <c r="G18" t="s">
        <v>280</v>
      </c>
      <c r="I18" t="s">
        <v>224</v>
      </c>
    </row>
    <row r="19" spans="1:9" x14ac:dyDescent="0.35">
      <c r="A19">
        <v>18</v>
      </c>
      <c r="B19" t="s">
        <v>282</v>
      </c>
      <c r="C19" t="s">
        <v>266</v>
      </c>
      <c r="E19" t="str">
        <f t="shared" si="2"/>
        <v>thumbs/Leadership Program (2020).webp</v>
      </c>
      <c r="F19" t="str">
        <f t="shared" si="3"/>
        <v>pdfs/Leadership Program (2020).pdf</v>
      </c>
      <c r="G19" t="s">
        <v>283</v>
      </c>
      <c r="I19" t="s">
        <v>224</v>
      </c>
    </row>
    <row r="20" spans="1:9" x14ac:dyDescent="0.35">
      <c r="A20">
        <v>19</v>
      </c>
      <c r="B20" t="s">
        <v>284</v>
      </c>
      <c r="C20" t="s">
        <v>266</v>
      </c>
      <c r="E20" t="str">
        <f t="shared" si="2"/>
        <v>thumbs/Leadership Program (2017).webp</v>
      </c>
      <c r="F20" t="str">
        <f t="shared" si="3"/>
        <v>pdfs/Leadership Program (2017).pdf</v>
      </c>
      <c r="G20" t="s">
        <v>283</v>
      </c>
      <c r="I20" t="s">
        <v>224</v>
      </c>
    </row>
    <row r="21" spans="1:9" x14ac:dyDescent="0.35">
      <c r="A21">
        <v>20</v>
      </c>
      <c r="B21" t="s">
        <v>285</v>
      </c>
      <c r="C21" t="s">
        <v>286</v>
      </c>
      <c r="D21" t="s">
        <v>287</v>
      </c>
      <c r="E21" t="str">
        <f t="shared" si="2"/>
        <v>thumbs/Foundations of Project Management.webp</v>
      </c>
      <c r="F21" t="str">
        <f t="shared" si="3"/>
        <v>pdfs/Foundations of Project Management.pdf</v>
      </c>
      <c r="G21" t="s">
        <v>283</v>
      </c>
      <c r="H21" t="s">
        <v>288</v>
      </c>
      <c r="I21" t="s">
        <v>219</v>
      </c>
    </row>
    <row r="22" spans="1:9" x14ac:dyDescent="0.35">
      <c r="A22">
        <v>21</v>
      </c>
      <c r="B22" t="s">
        <v>289</v>
      </c>
      <c r="C22" t="s">
        <v>286</v>
      </c>
      <c r="D22" t="s">
        <v>290</v>
      </c>
      <c r="E22" t="str">
        <f t="shared" si="2"/>
        <v>thumbs/Project Initiation - Starting a Successful Project.webp</v>
      </c>
      <c r="F22" t="str">
        <f t="shared" si="3"/>
        <v>pdfs/Project Initiation - Starting a Successful Project.pdf</v>
      </c>
      <c r="G22" t="s">
        <v>283</v>
      </c>
      <c r="H22" t="s">
        <v>288</v>
      </c>
      <c r="I22" t="s">
        <v>219</v>
      </c>
    </row>
    <row r="23" spans="1:9" x14ac:dyDescent="0.35">
      <c r="A23">
        <v>22</v>
      </c>
      <c r="B23" t="s">
        <v>291</v>
      </c>
      <c r="C23" t="s">
        <v>286</v>
      </c>
      <c r="D23" t="s">
        <v>292</v>
      </c>
      <c r="E23" t="str">
        <f t="shared" si="2"/>
        <v>thumbs/Project Planning - Putting It All Together.webp</v>
      </c>
      <c r="F23" t="str">
        <f t="shared" si="3"/>
        <v>pdfs/Project Planning - Putting It All Together.pdf</v>
      </c>
      <c r="G23" t="s">
        <v>283</v>
      </c>
      <c r="H23" t="s">
        <v>288</v>
      </c>
      <c r="I23" t="s">
        <v>219</v>
      </c>
    </row>
    <row r="24" spans="1:9" x14ac:dyDescent="0.35">
      <c r="A24">
        <v>23</v>
      </c>
      <c r="B24" t="s">
        <v>293</v>
      </c>
      <c r="C24" t="s">
        <v>264</v>
      </c>
      <c r="D24" t="s">
        <v>294</v>
      </c>
      <c r="E24" t="str">
        <f t="shared" si="2"/>
        <v>thumbs/Introduction to Marketing.webp</v>
      </c>
      <c r="F24" t="str">
        <f t="shared" si="3"/>
        <v>pdfs/Introduction to Marketing.pdf</v>
      </c>
      <c r="G24" t="s">
        <v>278</v>
      </c>
      <c r="I24" t="s">
        <v>219</v>
      </c>
    </row>
    <row r="25" spans="1:9" x14ac:dyDescent="0.35">
      <c r="A25">
        <v>24</v>
      </c>
      <c r="B25" t="s">
        <v>295</v>
      </c>
      <c r="C25" t="s">
        <v>286</v>
      </c>
      <c r="E25" t="str">
        <f t="shared" si="2"/>
        <v>thumbs/Fundamentals of Digital Marketing.webp</v>
      </c>
      <c r="F25" t="str">
        <f t="shared" si="3"/>
        <v>pdfs/Fundamentals of Digital Marketing.pdf</v>
      </c>
      <c r="G25" t="s">
        <v>296</v>
      </c>
      <c r="I25" t="s">
        <v>219</v>
      </c>
    </row>
    <row r="26" spans="1:9" x14ac:dyDescent="0.35">
      <c r="A26">
        <v>25</v>
      </c>
      <c r="B26" t="s">
        <v>297</v>
      </c>
      <c r="C26" t="s">
        <v>298</v>
      </c>
      <c r="D26" t="s">
        <v>299</v>
      </c>
      <c r="E26" t="str">
        <f t="shared" si="2"/>
        <v>thumbs/Claude 101.webp</v>
      </c>
      <c r="F26" t="str">
        <f t="shared" si="3"/>
        <v>pdfs/Claude 101.pdf</v>
      </c>
      <c r="G26" t="s">
        <v>300</v>
      </c>
      <c r="H26" t="s">
        <v>301</v>
      </c>
      <c r="I26" t="s">
        <v>219</v>
      </c>
    </row>
    <row r="27" spans="1:9" x14ac:dyDescent="0.35">
      <c r="A27">
        <v>26</v>
      </c>
      <c r="B27" t="s">
        <v>302</v>
      </c>
      <c r="C27" t="s">
        <v>298</v>
      </c>
      <c r="D27" t="s">
        <v>303</v>
      </c>
      <c r="E27" t="str">
        <f t="shared" si="2"/>
        <v>thumbs/Claude Code 101.webp</v>
      </c>
      <c r="F27" t="str">
        <f t="shared" si="3"/>
        <v>pdfs/Claude Code 101.pdf</v>
      </c>
      <c r="G27" t="s">
        <v>300</v>
      </c>
      <c r="H27" t="s">
        <v>301</v>
      </c>
      <c r="I27" t="s">
        <v>219</v>
      </c>
    </row>
    <row r="28" spans="1:9" x14ac:dyDescent="0.35">
      <c r="A28">
        <v>27</v>
      </c>
      <c r="B28" t="s">
        <v>304</v>
      </c>
      <c r="C28" t="s">
        <v>298</v>
      </c>
      <c r="D28" t="s">
        <v>305</v>
      </c>
      <c r="E28" t="str">
        <f t="shared" si="2"/>
        <v>thumbs/Claude Platform 101.webp</v>
      </c>
      <c r="F28" t="str">
        <f t="shared" si="3"/>
        <v>pdfs/Claude Platform 101.pdf</v>
      </c>
      <c r="G28" t="s">
        <v>300</v>
      </c>
      <c r="H28" t="s">
        <v>301</v>
      </c>
      <c r="I28" t="s">
        <v>219</v>
      </c>
    </row>
    <row r="29" spans="1:9" x14ac:dyDescent="0.35">
      <c r="A29">
        <v>28</v>
      </c>
      <c r="B29" t="s">
        <v>306</v>
      </c>
      <c r="C29" t="s">
        <v>298</v>
      </c>
      <c r="D29" t="s">
        <v>307</v>
      </c>
      <c r="E29" t="str">
        <f t="shared" si="2"/>
        <v>thumbs/Introduction to Claude Cowork.webp</v>
      </c>
      <c r="F29" t="str">
        <f t="shared" si="3"/>
        <v>pdfs/Introduction to Claude Cowork.pdf</v>
      </c>
      <c r="G29" t="s">
        <v>300</v>
      </c>
      <c r="H29" t="s">
        <v>301</v>
      </c>
      <c r="I29" t="s">
        <v>219</v>
      </c>
    </row>
    <row r="30" spans="1:9" x14ac:dyDescent="0.35">
      <c r="A30">
        <v>29</v>
      </c>
      <c r="B30" t="s">
        <v>308</v>
      </c>
      <c r="C30" t="s">
        <v>298</v>
      </c>
      <c r="D30" t="s">
        <v>309</v>
      </c>
      <c r="E30" t="str">
        <f t="shared" si="2"/>
        <v>thumbs/Claude Code in Action.webp</v>
      </c>
      <c r="F30" t="str">
        <f t="shared" si="3"/>
        <v>pdfs/Claude Code in Action.pdf</v>
      </c>
      <c r="G30" t="s">
        <v>300</v>
      </c>
      <c r="H30" t="s">
        <v>301</v>
      </c>
      <c r="I30" t="s">
        <v>219</v>
      </c>
    </row>
    <row r="31" spans="1:9" x14ac:dyDescent="0.35">
      <c r="A31">
        <v>30</v>
      </c>
      <c r="B31" t="s">
        <v>310</v>
      </c>
      <c r="C31" t="s">
        <v>298</v>
      </c>
      <c r="D31" t="s">
        <v>311</v>
      </c>
      <c r="E31" t="str">
        <f t="shared" si="2"/>
        <v>thumbs/AI Fluency - Frameworks &amp; Foundations.webp</v>
      </c>
      <c r="F31" t="str">
        <f t="shared" si="3"/>
        <v>pdfs/AI Fluency - Frameworks &amp; Foundations.pdf</v>
      </c>
      <c r="G31" t="s">
        <v>300</v>
      </c>
      <c r="H31" t="s">
        <v>301</v>
      </c>
      <c r="I31" t="s">
        <v>219</v>
      </c>
    </row>
    <row r="32" spans="1:9" x14ac:dyDescent="0.35">
      <c r="A32">
        <v>31</v>
      </c>
      <c r="B32" t="s">
        <v>312</v>
      </c>
      <c r="C32" t="s">
        <v>298</v>
      </c>
      <c r="D32" t="s">
        <v>313</v>
      </c>
      <c r="E32" t="str">
        <f t="shared" si="2"/>
        <v>thumbs/Introduction to Model Context Protocol.webp</v>
      </c>
      <c r="F32" t="str">
        <f t="shared" si="3"/>
        <v>pdfs/Introduction to Model Context Protocol.pdf</v>
      </c>
      <c r="G32" t="s">
        <v>300</v>
      </c>
      <c r="H32" t="s">
        <v>301</v>
      </c>
      <c r="I32" t="s">
        <v>219</v>
      </c>
    </row>
    <row r="33" spans="1:9" x14ac:dyDescent="0.35">
      <c r="A33">
        <v>32</v>
      </c>
      <c r="B33" t="s">
        <v>314</v>
      </c>
      <c r="C33" t="s">
        <v>298</v>
      </c>
      <c r="D33" t="s">
        <v>315</v>
      </c>
      <c r="E33" t="str">
        <f t="shared" si="2"/>
        <v>thumbs/Model Context Protocol - Advanced Topics.webp</v>
      </c>
      <c r="F33" t="str">
        <f t="shared" si="3"/>
        <v>pdfs/Model Context Protocol - Advanced Topics.pdf</v>
      </c>
      <c r="G33" t="s">
        <v>300</v>
      </c>
      <c r="H33" t="s">
        <v>301</v>
      </c>
      <c r="I33" t="s">
        <v>219</v>
      </c>
    </row>
    <row r="34" spans="1:9" x14ac:dyDescent="0.35">
      <c r="A34">
        <v>33</v>
      </c>
      <c r="B34" t="s">
        <v>316</v>
      </c>
      <c r="C34" t="s">
        <v>298</v>
      </c>
      <c r="D34" t="s">
        <v>317</v>
      </c>
      <c r="E34" t="str">
        <f t="shared" si="2"/>
        <v>thumbs/AI Fluency for Educators.webp</v>
      </c>
      <c r="F34" t="str">
        <f t="shared" si="3"/>
        <v>pdfs/AI Fluency for Educators.pdf</v>
      </c>
      <c r="G34" t="s">
        <v>300</v>
      </c>
      <c r="H34" t="s">
        <v>301</v>
      </c>
      <c r="I34" t="s">
        <v>219</v>
      </c>
    </row>
    <row r="35" spans="1:9" x14ac:dyDescent="0.35">
      <c r="A35">
        <v>34</v>
      </c>
      <c r="B35" t="s">
        <v>318</v>
      </c>
      <c r="C35" t="s">
        <v>298</v>
      </c>
      <c r="D35" t="s">
        <v>319</v>
      </c>
      <c r="E35" t="str">
        <f t="shared" si="2"/>
        <v>thumbs/AI Fluency for Students.webp</v>
      </c>
      <c r="F35" t="str">
        <f t="shared" si="3"/>
        <v>pdfs/AI Fluency for Students.pdf</v>
      </c>
      <c r="G35" t="s">
        <v>300</v>
      </c>
      <c r="H35" t="s">
        <v>301</v>
      </c>
      <c r="I35" t="s">
        <v>219</v>
      </c>
    </row>
    <row r="36" spans="1:9" x14ac:dyDescent="0.35">
      <c r="A36">
        <v>35</v>
      </c>
      <c r="B36" t="s">
        <v>320</v>
      </c>
      <c r="C36" t="s">
        <v>298</v>
      </c>
      <c r="D36" t="s">
        <v>321</v>
      </c>
      <c r="E36" t="str">
        <f t="shared" si="2"/>
        <v>thumbs/Teaching the AI Fluency Framework.webp</v>
      </c>
      <c r="F36" t="str">
        <f t="shared" si="3"/>
        <v>pdfs/Teaching the AI Fluency Framework.pdf</v>
      </c>
      <c r="G36" t="s">
        <v>300</v>
      </c>
      <c r="H36" t="s">
        <v>301</v>
      </c>
      <c r="I36" t="s">
        <v>219</v>
      </c>
    </row>
    <row r="37" spans="1:9" x14ac:dyDescent="0.35">
      <c r="A37">
        <v>36</v>
      </c>
      <c r="B37" t="s">
        <v>322</v>
      </c>
      <c r="C37" t="s">
        <v>298</v>
      </c>
      <c r="D37" t="s">
        <v>323</v>
      </c>
      <c r="E37" t="str">
        <f t="shared" si="2"/>
        <v>thumbs/AI Fluency for Non-Profits.webp</v>
      </c>
      <c r="F37" t="str">
        <f t="shared" si="3"/>
        <v>pdfs/AI Fluency for Non-Profits.pdf</v>
      </c>
      <c r="G37" t="s">
        <v>300</v>
      </c>
      <c r="H37" t="s">
        <v>301</v>
      </c>
      <c r="I37" t="s">
        <v>219</v>
      </c>
    </row>
    <row r="38" spans="1:9" x14ac:dyDescent="0.35">
      <c r="A38">
        <v>37</v>
      </c>
      <c r="B38" t="s">
        <v>324</v>
      </c>
      <c r="C38" t="s">
        <v>298</v>
      </c>
      <c r="D38" t="s">
        <v>325</v>
      </c>
      <c r="E38" t="str">
        <f t="shared" si="2"/>
        <v>thumbs/AI Fluency for Small Businesses.webp</v>
      </c>
      <c r="F38" t="str">
        <f t="shared" si="3"/>
        <v>pdfs/AI Fluency for Small Businesses.pdf</v>
      </c>
      <c r="G38" t="s">
        <v>300</v>
      </c>
      <c r="H38" t="s">
        <v>301</v>
      </c>
      <c r="I38" t="s">
        <v>219</v>
      </c>
    </row>
    <row r="39" spans="1:9" x14ac:dyDescent="0.35">
      <c r="A39">
        <v>38</v>
      </c>
      <c r="B39" t="s">
        <v>326</v>
      </c>
      <c r="C39" t="s">
        <v>298</v>
      </c>
      <c r="D39" t="s">
        <v>327</v>
      </c>
      <c r="E39" t="str">
        <f t="shared" si="2"/>
        <v>thumbs/Introduction to Agent Skills.webp</v>
      </c>
      <c r="F39" t="str">
        <f t="shared" si="3"/>
        <v>pdfs/Introduction to Agent Skills.pdf</v>
      </c>
      <c r="G39" t="s">
        <v>300</v>
      </c>
      <c r="H39" t="s">
        <v>301</v>
      </c>
      <c r="I39" t="s">
        <v>219</v>
      </c>
    </row>
    <row r="40" spans="1:9" x14ac:dyDescent="0.35">
      <c r="A40">
        <v>39</v>
      </c>
      <c r="B40" t="s">
        <v>328</v>
      </c>
      <c r="C40" t="s">
        <v>298</v>
      </c>
      <c r="D40" t="s">
        <v>329</v>
      </c>
      <c r="E40" t="str">
        <f t="shared" si="2"/>
        <v>thumbs/Introduction to Sub-Agents.webp</v>
      </c>
      <c r="F40" t="str">
        <f t="shared" si="3"/>
        <v>pdfs/Introduction to Sub-Agents.pdf</v>
      </c>
      <c r="G40" t="s">
        <v>300</v>
      </c>
      <c r="H40" t="s">
        <v>301</v>
      </c>
      <c r="I40" t="s">
        <v>219</v>
      </c>
    </row>
    <row r="41" spans="1:9" x14ac:dyDescent="0.35">
      <c r="A41">
        <v>40</v>
      </c>
      <c r="B41" t="s">
        <v>330</v>
      </c>
      <c r="C41" t="s">
        <v>298</v>
      </c>
      <c r="D41" t="s">
        <v>331</v>
      </c>
      <c r="E41" t="str">
        <f t="shared" si="2"/>
        <v>thumbs/AI Capabilities &amp; Limitations.webp</v>
      </c>
      <c r="F41" t="str">
        <f t="shared" si="3"/>
        <v>pdfs/AI Capabilities &amp; Limitations.pdf</v>
      </c>
      <c r="G41" t="s">
        <v>300</v>
      </c>
      <c r="H41" t="s">
        <v>301</v>
      </c>
      <c r="I41" t="s">
        <v>219</v>
      </c>
    </row>
    <row r="42" spans="1:9" x14ac:dyDescent="0.35">
      <c r="A42">
        <v>41</v>
      </c>
      <c r="B42" t="s">
        <v>332</v>
      </c>
      <c r="C42" t="s">
        <v>298</v>
      </c>
      <c r="D42" t="s">
        <v>333</v>
      </c>
      <c r="E42" t="str">
        <f t="shared" si="2"/>
        <v>thumbs/Claude with Anthropic API.webp</v>
      </c>
      <c r="F42" t="str">
        <f t="shared" si="3"/>
        <v>pdfs/Claude with Anthropic API.pdf</v>
      </c>
      <c r="G42" t="s">
        <v>300</v>
      </c>
      <c r="H42" t="s">
        <v>301</v>
      </c>
      <c r="I42" t="s">
        <v>219</v>
      </c>
    </row>
    <row r="43" spans="1:9" x14ac:dyDescent="0.35">
      <c r="A43">
        <v>42</v>
      </c>
      <c r="B43" t="s">
        <v>334</v>
      </c>
      <c r="C43" t="s">
        <v>298</v>
      </c>
      <c r="D43" t="s">
        <v>335</v>
      </c>
      <c r="E43" t="str">
        <f t="shared" si="2"/>
        <v>thumbs/Claude with Google Vertex AI.webp</v>
      </c>
      <c r="F43" t="str">
        <f t="shared" si="3"/>
        <v>pdfs/Claude with Google Vertex AI.pdf</v>
      </c>
      <c r="G43" t="s">
        <v>300</v>
      </c>
      <c r="H43" t="s">
        <v>301</v>
      </c>
      <c r="I43" t="s">
        <v>219</v>
      </c>
    </row>
    <row r="44" spans="1:9" x14ac:dyDescent="0.35">
      <c r="A44">
        <v>43</v>
      </c>
      <c r="B44" t="s">
        <v>336</v>
      </c>
      <c r="C44" t="s">
        <v>298</v>
      </c>
      <c r="D44" t="s">
        <v>337</v>
      </c>
      <c r="E44" t="str">
        <f t="shared" si="2"/>
        <v>thumbs/Claude with Amazon Bedrock.webp</v>
      </c>
      <c r="F44" t="str">
        <f t="shared" si="3"/>
        <v>pdfs/Claude with Amazon Bedrock.pdf</v>
      </c>
      <c r="G44" t="s">
        <v>300</v>
      </c>
      <c r="H44" t="s">
        <v>301</v>
      </c>
      <c r="I44" t="s">
        <v>219</v>
      </c>
    </row>
    <row r="45" spans="1:9" x14ac:dyDescent="0.35">
      <c r="A45">
        <v>44</v>
      </c>
      <c r="B45" t="s">
        <v>338</v>
      </c>
      <c r="C45" t="s">
        <v>339</v>
      </c>
      <c r="D45" t="s">
        <v>340</v>
      </c>
      <c r="E45" t="str">
        <f t="shared" si="2"/>
        <v>thumbs/Getting Started with Python.webp</v>
      </c>
      <c r="F45" t="str">
        <f t="shared" si="3"/>
        <v>pdfs/Getting Started with Python.pdf</v>
      </c>
      <c r="G45" t="s">
        <v>341</v>
      </c>
      <c r="I45" t="s">
        <v>219</v>
      </c>
    </row>
    <row r="46" spans="1:9" x14ac:dyDescent="0.35">
      <c r="A46">
        <v>45</v>
      </c>
      <c r="B46" t="s">
        <v>342</v>
      </c>
      <c r="C46" t="s">
        <v>343</v>
      </c>
      <c r="E46" t="str">
        <f t="shared" si="2"/>
        <v>thumbs/Gampaha District Cricket Team.webp</v>
      </c>
      <c r="F46" t="str">
        <f t="shared" si="3"/>
        <v>pdfs/Gampaha District Cricket Team.pdf</v>
      </c>
      <c r="G46" t="s">
        <v>280</v>
      </c>
      <c r="I46" t="s">
        <v>219</v>
      </c>
    </row>
    <row r="47" spans="1:9" x14ac:dyDescent="0.35">
      <c r="A47">
        <v>46</v>
      </c>
      <c r="B47" t="s">
        <v>344</v>
      </c>
      <c r="C47" t="s">
        <v>190</v>
      </c>
      <c r="E47" t="str">
        <f t="shared" si="2"/>
        <v>thumbs/Sports Colors - Cricket.webp</v>
      </c>
      <c r="F47" t="str">
        <f t="shared" si="3"/>
        <v>pdfs/Sports Colors - Cricket.pdf</v>
      </c>
      <c r="G47" t="s">
        <v>280</v>
      </c>
      <c r="I47" t="s">
        <v>219</v>
      </c>
    </row>
    <row r="48" spans="1:9" x14ac:dyDescent="0.35">
      <c r="A48">
        <v>47</v>
      </c>
      <c r="B48" t="s">
        <v>345</v>
      </c>
      <c r="C48" t="s">
        <v>346</v>
      </c>
      <c r="E48" t="str">
        <f t="shared" si="2"/>
        <v>thumbs/All-Island U19 DIII Semi-Finalists (2019).webp</v>
      </c>
      <c r="F48" t="str">
        <f t="shared" si="3"/>
        <v>pdfs/All-Island U19 DIII Semi-Finalists (2019).pdf</v>
      </c>
      <c r="G48" t="s">
        <v>280</v>
      </c>
      <c r="I48" t="s">
        <v>219</v>
      </c>
    </row>
    <row r="49" spans="1:9" x14ac:dyDescent="0.35">
      <c r="A49">
        <v>48</v>
      </c>
      <c r="B49" t="s">
        <v>347</v>
      </c>
      <c r="C49" t="s">
        <v>190</v>
      </c>
      <c r="E49" t="str">
        <f t="shared" si="2"/>
        <v>thumbs/School Leaving Certificate.webp</v>
      </c>
      <c r="F49" t="str">
        <f t="shared" si="3"/>
        <v>pdfs/School Leaving Certificate.pdf</v>
      </c>
      <c r="G49" t="s">
        <v>348</v>
      </c>
      <c r="I49" t="s">
        <v>224</v>
      </c>
    </row>
    <row r="50" spans="1:9" x14ac:dyDescent="0.35">
      <c r="A50">
        <v>49</v>
      </c>
      <c r="B50" t="s">
        <v>349</v>
      </c>
      <c r="C50" t="s">
        <v>190</v>
      </c>
      <c r="E50" t="str">
        <f t="shared" si="2"/>
        <v>thumbs/Character Certificate.webp</v>
      </c>
      <c r="F50" t="str">
        <f t="shared" si="3"/>
        <v>pdfs/Character Certificate.pdf</v>
      </c>
      <c r="G50" t="s">
        <v>348</v>
      </c>
      <c r="I50" t="s">
        <v>224</v>
      </c>
    </row>
    <row r="51" spans="1:9" x14ac:dyDescent="0.35">
      <c r="A51">
        <v>50</v>
      </c>
      <c r="B51" t="s">
        <v>350</v>
      </c>
      <c r="C51" t="s">
        <v>351</v>
      </c>
      <c r="E51" t="str">
        <f t="shared" si="2"/>
        <v>thumbs/Advanced Level Results.webp</v>
      </c>
      <c r="F51" t="str">
        <f t="shared" si="3"/>
        <v>pdfs/Advanced Level Results.pdf</v>
      </c>
      <c r="G51" t="s">
        <v>348</v>
      </c>
      <c r="I51" t="s">
        <v>224</v>
      </c>
    </row>
    <row r="52" spans="1:9" x14ac:dyDescent="0.35">
      <c r="A52">
        <v>51</v>
      </c>
      <c r="B52" t="s">
        <v>352</v>
      </c>
      <c r="C52" t="s">
        <v>353</v>
      </c>
      <c r="E52" t="str">
        <f t="shared" si="2"/>
        <v>thumbs/IGCSE OL Results.webp</v>
      </c>
      <c r="F52" t="str">
        <f t="shared" si="3"/>
        <v>pdfs/IGCSE OL Results.pdf</v>
      </c>
      <c r="G52" t="s">
        <v>348</v>
      </c>
      <c r="I52" t="s">
        <v>224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4"/>
  <sheetViews>
    <sheetView workbookViewId="0">
      <selection activeCell="C3" sqref="C3"/>
    </sheetView>
  </sheetViews>
  <sheetFormatPr defaultRowHeight="14.5" x14ac:dyDescent="0.35"/>
  <cols>
    <col min="1" max="1" width="2.81640625" bestFit="1" customWidth="1"/>
  </cols>
  <sheetData>
    <row r="1" spans="1:7" x14ac:dyDescent="0.35">
      <c r="A1" t="s">
        <v>0</v>
      </c>
      <c r="B1" t="s">
        <v>188</v>
      </c>
      <c r="C1" t="s">
        <v>208</v>
      </c>
      <c r="D1" t="s">
        <v>211</v>
      </c>
      <c r="E1" t="s">
        <v>354</v>
      </c>
      <c r="F1" t="s">
        <v>210</v>
      </c>
      <c r="G1" t="s">
        <v>22</v>
      </c>
    </row>
    <row r="2" spans="1:7" x14ac:dyDescent="0.35">
      <c r="A2">
        <v>1</v>
      </c>
      <c r="B2" t="s">
        <v>355</v>
      </c>
      <c r="C2" t="s">
        <v>356</v>
      </c>
      <c r="D2" t="s">
        <v>357</v>
      </c>
      <c r="E2" t="s">
        <v>358</v>
      </c>
      <c r="F2" t="s">
        <v>232</v>
      </c>
      <c r="G2" t="s">
        <v>219</v>
      </c>
    </row>
    <row r="3" spans="1:7" x14ac:dyDescent="0.35">
      <c r="A3">
        <v>2</v>
      </c>
      <c r="B3" t="s">
        <v>359</v>
      </c>
      <c r="C3" t="s">
        <v>407</v>
      </c>
      <c r="D3" t="s">
        <v>360</v>
      </c>
      <c r="E3" t="s">
        <v>361</v>
      </c>
      <c r="F3" t="s">
        <v>216</v>
      </c>
      <c r="G3" t="s">
        <v>219</v>
      </c>
    </row>
    <row r="4" spans="1:7" x14ac:dyDescent="0.35">
      <c r="A4">
        <v>3</v>
      </c>
      <c r="B4" t="s">
        <v>362</v>
      </c>
      <c r="C4" t="s">
        <v>406</v>
      </c>
      <c r="D4" t="s">
        <v>363</v>
      </c>
      <c r="E4" t="s">
        <v>364</v>
      </c>
      <c r="F4" t="s">
        <v>216</v>
      </c>
      <c r="G4" t="s">
        <v>219</v>
      </c>
    </row>
    <row r="5" spans="1:7" x14ac:dyDescent="0.35">
      <c r="A5">
        <v>4</v>
      </c>
      <c r="B5" t="s">
        <v>365</v>
      </c>
      <c r="C5" t="s">
        <v>366</v>
      </c>
      <c r="D5" t="s">
        <v>367</v>
      </c>
      <c r="E5" t="s">
        <v>368</v>
      </c>
      <c r="F5" t="s">
        <v>216</v>
      </c>
      <c r="G5" t="s">
        <v>224</v>
      </c>
    </row>
    <row r="6" spans="1:7" x14ac:dyDescent="0.35">
      <c r="A6">
        <v>5</v>
      </c>
      <c r="B6" t="s">
        <v>369</v>
      </c>
      <c r="C6" t="s">
        <v>370</v>
      </c>
      <c r="D6" t="s">
        <v>371</v>
      </c>
      <c r="E6" t="s">
        <v>372</v>
      </c>
      <c r="F6" t="s">
        <v>216</v>
      </c>
      <c r="G6" t="s">
        <v>219</v>
      </c>
    </row>
    <row r="7" spans="1:7" x14ac:dyDescent="0.35">
      <c r="A7">
        <v>6</v>
      </c>
      <c r="B7" t="s">
        <v>373</v>
      </c>
      <c r="C7" t="s">
        <v>374</v>
      </c>
      <c r="D7" t="s">
        <v>375</v>
      </c>
      <c r="E7" t="s">
        <v>376</v>
      </c>
      <c r="F7" t="s">
        <v>216</v>
      </c>
      <c r="G7" t="s">
        <v>219</v>
      </c>
    </row>
    <row r="8" spans="1:7" x14ac:dyDescent="0.35">
      <c r="A8">
        <v>7</v>
      </c>
      <c r="B8" t="s">
        <v>400</v>
      </c>
      <c r="C8" t="s">
        <v>377</v>
      </c>
      <c r="D8" t="s">
        <v>378</v>
      </c>
      <c r="E8" t="s">
        <v>379</v>
      </c>
      <c r="F8" t="s">
        <v>216</v>
      </c>
      <c r="G8" t="s">
        <v>219</v>
      </c>
    </row>
    <row r="9" spans="1:7" x14ac:dyDescent="0.35">
      <c r="A9">
        <v>8</v>
      </c>
      <c r="B9" t="s">
        <v>401</v>
      </c>
      <c r="C9" t="s">
        <v>380</v>
      </c>
      <c r="D9" t="s">
        <v>381</v>
      </c>
      <c r="E9" t="s">
        <v>382</v>
      </c>
      <c r="F9" t="s">
        <v>383</v>
      </c>
      <c r="G9" t="s">
        <v>219</v>
      </c>
    </row>
    <row r="10" spans="1:7" x14ac:dyDescent="0.35">
      <c r="A10">
        <v>9</v>
      </c>
      <c r="B10" t="s">
        <v>384</v>
      </c>
      <c r="C10" t="s">
        <v>385</v>
      </c>
      <c r="D10" t="s">
        <v>386</v>
      </c>
      <c r="E10" t="s">
        <v>387</v>
      </c>
      <c r="F10" t="s">
        <v>280</v>
      </c>
      <c r="G10" t="s">
        <v>219</v>
      </c>
    </row>
    <row r="11" spans="1:7" x14ac:dyDescent="0.35">
      <c r="A11">
        <v>10</v>
      </c>
      <c r="B11" t="s">
        <v>388</v>
      </c>
      <c r="C11" t="s">
        <v>389</v>
      </c>
      <c r="D11" t="s">
        <v>390</v>
      </c>
      <c r="E11" t="s">
        <v>391</v>
      </c>
      <c r="F11" t="s">
        <v>392</v>
      </c>
      <c r="G11" t="s">
        <v>219</v>
      </c>
    </row>
    <row r="12" spans="1:7" x14ac:dyDescent="0.35">
      <c r="A12">
        <v>11</v>
      </c>
      <c r="B12" t="s">
        <v>402</v>
      </c>
      <c r="C12" t="s">
        <v>393</v>
      </c>
      <c r="D12" t="s">
        <v>394</v>
      </c>
      <c r="E12" t="s">
        <v>395</v>
      </c>
      <c r="F12" t="s">
        <v>280</v>
      </c>
      <c r="G12" t="s">
        <v>219</v>
      </c>
    </row>
    <row r="13" spans="1:7" x14ac:dyDescent="0.35">
      <c r="A13">
        <v>12</v>
      </c>
      <c r="B13" t="s">
        <v>403</v>
      </c>
      <c r="C13" t="s">
        <v>405</v>
      </c>
      <c r="D13" t="s">
        <v>396</v>
      </c>
      <c r="E13" t="s">
        <v>397</v>
      </c>
      <c r="F13" t="s">
        <v>280</v>
      </c>
      <c r="G13" t="s">
        <v>219</v>
      </c>
    </row>
    <row r="14" spans="1:7" x14ac:dyDescent="0.35">
      <c r="A14">
        <v>13</v>
      </c>
      <c r="B14" t="s">
        <v>398</v>
      </c>
      <c r="C14" t="s">
        <v>404</v>
      </c>
      <c r="D14" t="s">
        <v>399</v>
      </c>
      <c r="F14" t="s">
        <v>280</v>
      </c>
      <c r="G14"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personas</vt:lpstr>
      <vt:lpstr>techstack</vt:lpstr>
      <vt:lpstr>organisations</vt:lpstr>
      <vt:lpstr>education</vt:lpstr>
      <vt:lpstr>projects</vt:lpstr>
      <vt:lpstr>certificates</vt:lpstr>
      <vt:lpstr>featured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Vishal Perera</cp:lastModifiedBy>
  <dcterms:created xsi:type="dcterms:W3CDTF">2026-07-12T13:21:20Z</dcterms:created>
  <dcterms:modified xsi:type="dcterms:W3CDTF">2026-07-17T17:16:30Z</dcterms:modified>
</cp:coreProperties>
</file>